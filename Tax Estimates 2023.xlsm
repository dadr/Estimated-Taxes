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codeName="ThisWorkbook" autoCompressPictures="0"/>
  <bookViews>
    <workbookView xWindow="4300" yWindow="9280" windowWidth="35980" windowHeight="27900"/>
  </bookViews>
  <sheets>
    <sheet name="Overview" sheetId="7" r:id="rId1"/>
    <sheet name="Federal Income Tax" sheetId="6" r:id="rId2"/>
    <sheet name="GA State Income Tax" sheetId="1" r:id="rId3"/>
    <sheet name="Quarterly Income" sheetId="2" r:id="rId4"/>
    <sheet name="AMT" sheetId="5" r:id="rId5"/>
  </sheets>
  <definedNames>
    <definedName name="_xlnm.Print_Area" localSheetId="1">'Federal Income Tax'!$A$1:$J$91</definedName>
    <definedName name="_xlnm.Print_Area" localSheetId="2">'GA State Income Tax'!$A$1:$L$34</definedName>
    <definedName name="_xlnm.Print_Area" localSheetId="3">'Quarterly Income'!$A$1:$AK$100</definedName>
  </definedNames>
  <calcPr calcId="140001" concurrentCalc="0"/>
  <extLst>
    <ext xmlns:mx="http://schemas.microsoft.com/office/mac/excel/2008/main" uri="{7523E5D3-25F3-A5E0-1632-64F254C22452}">
      <mx:ArchID Flags="2"/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3" i="6" l="1"/>
  <c r="B90" i="6"/>
  <c r="B40" i="6"/>
  <c r="F63" i="2"/>
  <c r="B44" i="6"/>
  <c r="F64" i="2"/>
  <c r="B48" i="6"/>
  <c r="B65" i="6"/>
  <c r="B21" i="6"/>
  <c r="B22" i="6"/>
  <c r="B23" i="6"/>
  <c r="B28" i="6"/>
  <c r="B29" i="6"/>
  <c r="B49" i="6"/>
  <c r="B68" i="6"/>
  <c r="B76" i="6"/>
  <c r="B25" i="6"/>
  <c r="B32" i="6"/>
  <c r="B79" i="6"/>
  <c r="B82" i="6"/>
  <c r="B4" i="5"/>
  <c r="B6" i="5"/>
  <c r="B15" i="5"/>
  <c r="B16" i="5"/>
  <c r="B19" i="5"/>
  <c r="B21" i="5"/>
  <c r="B25" i="5"/>
  <c r="B85" i="6"/>
  <c r="B87" i="6"/>
  <c r="G76" i="6"/>
  <c r="B91" i="6"/>
  <c r="B24" i="6"/>
  <c r="B34" i="6"/>
  <c r="B35" i="6"/>
  <c r="C54" i="6"/>
  <c r="C55" i="6"/>
  <c r="C58" i="6"/>
  <c r="C59" i="6"/>
  <c r="C63" i="6"/>
  <c r="B12" i="6"/>
  <c r="B46" i="6"/>
  <c r="B47" i="6"/>
  <c r="B51" i="6"/>
  <c r="G77" i="6"/>
  <c r="P100" i="2"/>
  <c r="O100" i="2"/>
  <c r="N100" i="2"/>
  <c r="M100" i="2"/>
  <c r="L100" i="2"/>
  <c r="K93" i="2"/>
  <c r="L93" i="2"/>
  <c r="M93" i="2"/>
  <c r="N93" i="2"/>
  <c r="O93" i="2"/>
  <c r="P93" i="2"/>
  <c r="K94" i="2"/>
  <c r="L94" i="2"/>
  <c r="M94" i="2"/>
  <c r="N94" i="2"/>
  <c r="O94" i="2"/>
  <c r="P94" i="2"/>
  <c r="K95" i="2"/>
  <c r="L95" i="2"/>
  <c r="M95" i="2"/>
  <c r="N95" i="2"/>
  <c r="O95" i="2"/>
  <c r="P95" i="2"/>
  <c r="K96" i="2"/>
  <c r="L96" i="2"/>
  <c r="M96" i="2"/>
  <c r="N96" i="2"/>
  <c r="O96" i="2"/>
  <c r="P96" i="2"/>
  <c r="C69" i="2"/>
  <c r="C68" i="2"/>
  <c r="C67" i="2"/>
  <c r="C66" i="2"/>
  <c r="C65" i="2"/>
  <c r="C50" i="2"/>
  <c r="C49" i="2"/>
  <c r="C48" i="2"/>
  <c r="C47" i="2"/>
  <c r="C46" i="2"/>
  <c r="C31" i="2"/>
  <c r="C30" i="2"/>
  <c r="C29" i="2"/>
  <c r="C28" i="2"/>
  <c r="C27" i="2"/>
  <c r="C12" i="2"/>
  <c r="C11" i="2"/>
  <c r="C10" i="2"/>
  <c r="C9" i="2"/>
  <c r="C8" i="2"/>
  <c r="R19" i="2"/>
  <c r="Y73" i="2"/>
  <c r="AF73" i="2"/>
  <c r="Y74" i="2"/>
  <c r="AF74" i="2"/>
  <c r="Y75" i="2"/>
  <c r="AF75" i="2"/>
  <c r="Y76" i="2"/>
  <c r="AF76" i="2"/>
  <c r="R73" i="2"/>
  <c r="R74" i="2"/>
  <c r="R75" i="2"/>
  <c r="R76" i="2"/>
  <c r="K73" i="2"/>
  <c r="K74" i="2"/>
  <c r="K75" i="2"/>
  <c r="K76" i="2"/>
  <c r="Y54" i="2"/>
  <c r="Y55" i="2"/>
  <c r="Y56" i="2"/>
  <c r="Y57" i="2"/>
  <c r="R54" i="2"/>
  <c r="R55" i="2"/>
  <c r="R56" i="2"/>
  <c r="R57" i="2"/>
  <c r="K54" i="2"/>
  <c r="K55" i="2"/>
  <c r="K56" i="2"/>
  <c r="K57" i="2"/>
  <c r="R35" i="2"/>
  <c r="R36" i="2"/>
  <c r="R37" i="2"/>
  <c r="R38" i="2"/>
  <c r="K35" i="2"/>
  <c r="K36" i="2"/>
  <c r="K37" i="2"/>
  <c r="K38" i="2"/>
  <c r="Y16" i="2"/>
  <c r="Y17" i="2"/>
  <c r="Y18" i="2"/>
  <c r="Y19" i="2"/>
  <c r="R16" i="2"/>
  <c r="R17" i="2"/>
  <c r="R18" i="2"/>
  <c r="F68" i="2"/>
  <c r="F69" i="2"/>
  <c r="F67" i="2"/>
  <c r="F66" i="2"/>
  <c r="F65" i="2"/>
  <c r="K84" i="2"/>
  <c r="K85" i="2"/>
  <c r="K86" i="2"/>
  <c r="K87" i="2"/>
  <c r="K88" i="2"/>
  <c r="K89" i="2"/>
  <c r="K90" i="2"/>
  <c r="K91" i="2"/>
  <c r="K92" i="2"/>
  <c r="K83" i="2"/>
  <c r="B7" i="1"/>
  <c r="B11" i="1"/>
  <c r="B13" i="1"/>
  <c r="B14" i="1"/>
  <c r="AF64" i="2"/>
  <c r="AF65" i="2"/>
  <c r="AF66" i="2"/>
  <c r="AF67" i="2"/>
  <c r="AF68" i="2"/>
  <c r="AF69" i="2"/>
  <c r="AF70" i="2"/>
  <c r="AF71" i="2"/>
  <c r="AF72" i="2"/>
  <c r="AF63" i="2"/>
  <c r="Y64" i="2"/>
  <c r="Y65" i="2"/>
  <c r="Y66" i="2"/>
  <c r="Y67" i="2"/>
  <c r="Y68" i="2"/>
  <c r="Y69" i="2"/>
  <c r="Y70" i="2"/>
  <c r="Y71" i="2"/>
  <c r="Y72" i="2"/>
  <c r="Y63" i="2"/>
  <c r="R72" i="2"/>
  <c r="R64" i="2"/>
  <c r="R65" i="2"/>
  <c r="R66" i="2"/>
  <c r="R67" i="2"/>
  <c r="R68" i="2"/>
  <c r="R69" i="2"/>
  <c r="R70" i="2"/>
  <c r="R71" i="2"/>
  <c r="R63" i="2"/>
  <c r="K64" i="2"/>
  <c r="K65" i="2"/>
  <c r="K66" i="2"/>
  <c r="K67" i="2"/>
  <c r="K68" i="2"/>
  <c r="K69" i="2"/>
  <c r="K70" i="2"/>
  <c r="K71" i="2"/>
  <c r="K72" i="2"/>
  <c r="K63" i="2"/>
  <c r="Y45" i="2"/>
  <c r="Y46" i="2"/>
  <c r="Y47" i="2"/>
  <c r="Y48" i="2"/>
  <c r="Y49" i="2"/>
  <c r="Y50" i="2"/>
  <c r="Y51" i="2"/>
  <c r="Y52" i="2"/>
  <c r="Y53" i="2"/>
  <c r="Y44" i="2"/>
  <c r="R45" i="2"/>
  <c r="R46" i="2"/>
  <c r="R47" i="2"/>
  <c r="R48" i="2"/>
  <c r="R49" i="2"/>
  <c r="R50" i="2"/>
  <c r="R51" i="2"/>
  <c r="R52" i="2"/>
  <c r="R53" i="2"/>
  <c r="R44" i="2"/>
  <c r="K53" i="2"/>
  <c r="K45" i="2"/>
  <c r="K46" i="2"/>
  <c r="K47" i="2"/>
  <c r="K48" i="2"/>
  <c r="K49" i="2"/>
  <c r="K50" i="2"/>
  <c r="K51" i="2"/>
  <c r="K52" i="2"/>
  <c r="K44" i="2"/>
  <c r="R34" i="2"/>
  <c r="R26" i="2"/>
  <c r="R27" i="2"/>
  <c r="R28" i="2"/>
  <c r="R29" i="2"/>
  <c r="R30" i="2"/>
  <c r="R31" i="2"/>
  <c r="R32" i="2"/>
  <c r="R33" i="2"/>
  <c r="R25" i="2"/>
  <c r="K34" i="2"/>
  <c r="K26" i="2"/>
  <c r="K27" i="2"/>
  <c r="K28" i="2"/>
  <c r="K29" i="2"/>
  <c r="K30" i="2"/>
  <c r="K31" i="2"/>
  <c r="K32" i="2"/>
  <c r="K33" i="2"/>
  <c r="K25" i="2"/>
  <c r="Y7" i="2"/>
  <c r="Y8" i="2"/>
  <c r="Y9" i="2"/>
  <c r="Y10" i="2"/>
  <c r="Y11" i="2"/>
  <c r="Y12" i="2"/>
  <c r="Y13" i="2"/>
  <c r="Y14" i="2"/>
  <c r="Y15" i="2"/>
  <c r="Y6" i="2"/>
  <c r="R7" i="2"/>
  <c r="R8" i="2"/>
  <c r="R9" i="2"/>
  <c r="R10" i="2"/>
  <c r="R11" i="2"/>
  <c r="R12" i="2"/>
  <c r="R13" i="2"/>
  <c r="R14" i="2"/>
  <c r="R15" i="2"/>
  <c r="R6" i="2"/>
  <c r="B66" i="6"/>
  <c r="C61" i="6"/>
  <c r="B69" i="6"/>
  <c r="C62" i="6"/>
  <c r="B11" i="6"/>
  <c r="B19" i="6"/>
  <c r="G46" i="6"/>
  <c r="G48" i="6"/>
  <c r="G47" i="6"/>
  <c r="J46" i="6"/>
  <c r="J47" i="6"/>
  <c r="B71" i="6"/>
  <c r="J58" i="6"/>
  <c r="J59" i="6"/>
  <c r="J60" i="6"/>
  <c r="B73" i="6"/>
  <c r="B18" i="5"/>
  <c r="F16" i="2"/>
  <c r="F35" i="2"/>
  <c r="F54" i="2"/>
  <c r="F73" i="2"/>
  <c r="F15" i="2"/>
  <c r="F34" i="2"/>
  <c r="F53" i="2"/>
  <c r="F72" i="2"/>
  <c r="B22" i="5"/>
  <c r="F81" i="2"/>
  <c r="L85" i="2"/>
  <c r="M90" i="2"/>
  <c r="M83" i="2"/>
  <c r="M84" i="2"/>
  <c r="M85" i="2"/>
  <c r="M86" i="2"/>
  <c r="M87" i="2"/>
  <c r="M88" i="2"/>
  <c r="M89" i="2"/>
  <c r="M91" i="2"/>
  <c r="M92" i="2"/>
  <c r="N83" i="2"/>
  <c r="N84" i="2"/>
  <c r="N85" i="2"/>
  <c r="N86" i="2"/>
  <c r="N87" i="2"/>
  <c r="N88" i="2"/>
  <c r="N89" i="2"/>
  <c r="N90" i="2"/>
  <c r="N91" i="2"/>
  <c r="N92" i="2"/>
  <c r="O85" i="2"/>
  <c r="O83" i="2"/>
  <c r="O84" i="2"/>
  <c r="O86" i="2"/>
  <c r="O87" i="2"/>
  <c r="O88" i="2"/>
  <c r="O89" i="2"/>
  <c r="O90" i="2"/>
  <c r="O91" i="2"/>
  <c r="O92" i="2"/>
  <c r="P88" i="2"/>
  <c r="P85" i="2"/>
  <c r="P83" i="2"/>
  <c r="P84" i="2"/>
  <c r="P86" i="2"/>
  <c r="P87" i="2"/>
  <c r="P89" i="2"/>
  <c r="P90" i="2"/>
  <c r="P91" i="2"/>
  <c r="P92" i="2"/>
  <c r="L88" i="2"/>
  <c r="L83" i="2"/>
  <c r="L92" i="2"/>
  <c r="L84" i="2"/>
  <c r="L86" i="2"/>
  <c r="L87" i="2"/>
  <c r="L89" i="2"/>
  <c r="L90" i="2"/>
  <c r="L91" i="2"/>
  <c r="B31" i="6"/>
  <c r="B26" i="6"/>
  <c r="B37" i="6"/>
  <c r="F74" i="2"/>
  <c r="B88" i="6"/>
  <c r="G4" i="6"/>
  <c r="F19" i="2"/>
  <c r="F38" i="2"/>
  <c r="F57" i="2"/>
  <c r="F76" i="2"/>
  <c r="F20" i="2"/>
  <c r="F39" i="2"/>
  <c r="F58" i="2"/>
  <c r="F77" i="2"/>
  <c r="F78" i="2"/>
  <c r="B28" i="1"/>
  <c r="B20" i="1"/>
  <c r="B21" i="7"/>
  <c r="B20" i="7"/>
  <c r="B19" i="7"/>
  <c r="B77" i="6"/>
  <c r="B10" i="6"/>
  <c r="B19" i="1"/>
  <c r="B22" i="1"/>
  <c r="B23" i="1"/>
  <c r="B23" i="7"/>
  <c r="B38" i="6"/>
  <c r="B83" i="6"/>
  <c r="G4" i="1"/>
  <c r="B10" i="7"/>
  <c r="G60" i="6"/>
  <c r="G59" i="6"/>
  <c r="G49" i="6"/>
  <c r="G50" i="6"/>
  <c r="G51" i="6"/>
  <c r="G25" i="1"/>
  <c r="G24" i="1"/>
  <c r="G23" i="1"/>
  <c r="G22" i="1"/>
  <c r="J21" i="1"/>
  <c r="G21" i="1"/>
  <c r="J48" i="6"/>
  <c r="J49" i="6"/>
  <c r="J50" i="6"/>
  <c r="J22" i="1"/>
  <c r="J23" i="1"/>
  <c r="J24" i="1"/>
  <c r="J25" i="1"/>
  <c r="B27" i="1"/>
  <c r="J51" i="6"/>
  <c r="B31" i="1"/>
  <c r="B30" i="1"/>
  <c r="F48" i="2"/>
  <c r="F29" i="2"/>
  <c r="F10" i="2"/>
  <c r="B80" i="6"/>
  <c r="C13" i="2"/>
  <c r="C32" i="2"/>
  <c r="C51" i="2"/>
  <c r="C70" i="2"/>
  <c r="F49" i="2"/>
  <c r="F50" i="2"/>
  <c r="F31" i="2"/>
  <c r="F30" i="2"/>
  <c r="F12" i="2"/>
  <c r="F11" i="2"/>
  <c r="C78" i="2"/>
  <c r="C74" i="2"/>
  <c r="C59" i="2"/>
  <c r="C55" i="2"/>
  <c r="C40" i="2"/>
  <c r="C36" i="2"/>
  <c r="C21" i="2"/>
  <c r="C17" i="2"/>
  <c r="F47" i="2"/>
  <c r="F46" i="2"/>
  <c r="F45" i="2"/>
  <c r="F44" i="2"/>
  <c r="F28" i="2"/>
  <c r="F27" i="2"/>
  <c r="F26" i="2"/>
  <c r="F25" i="2"/>
  <c r="F9" i="2"/>
  <c r="F6" i="2"/>
  <c r="F8" i="2"/>
  <c r="F7" i="2"/>
  <c r="F17" i="2"/>
  <c r="F70" i="2"/>
  <c r="F36" i="2"/>
  <c r="F21" i="2"/>
  <c r="F13" i="2"/>
  <c r="F59" i="2"/>
  <c r="F40" i="2"/>
  <c r="F51" i="2"/>
  <c r="F32" i="2"/>
  <c r="F55" i="2"/>
  <c r="G3" i="1"/>
  <c r="B9" i="7"/>
  <c r="I4" i="1"/>
  <c r="D10" i="7"/>
  <c r="B24" i="5"/>
  <c r="F82" i="2"/>
  <c r="I3" i="1"/>
  <c r="D9" i="7"/>
  <c r="I3" i="6"/>
  <c r="I4" i="6"/>
  <c r="B5" i="7"/>
  <c r="B15" i="7"/>
  <c r="D5" i="7"/>
  <c r="D15" i="7"/>
  <c r="B4" i="7"/>
  <c r="B14" i="7"/>
  <c r="D4" i="7"/>
  <c r="D14" i="7"/>
</calcChain>
</file>

<file path=xl/sharedStrings.xml><?xml version="1.0" encoding="utf-8"?>
<sst xmlns="http://schemas.openxmlformats.org/spreadsheetml/2006/main" count="371" uniqueCount="188">
  <si>
    <t>Net Realized Capital Gains</t>
  </si>
  <si>
    <t>Long-term capital loss carryforward</t>
  </si>
  <si>
    <t>Short-term capital loss carryforward</t>
  </si>
  <si>
    <t>Realized long term capital gains</t>
  </si>
  <si>
    <t>Realized short term capital gains</t>
  </si>
  <si>
    <t>Estimated State Tax to be Paid</t>
  </si>
  <si>
    <t>Dividends</t>
  </si>
  <si>
    <t>Interest</t>
  </si>
  <si>
    <t>Quarterly Total:</t>
  </si>
  <si>
    <t>Federal Tax Withheld</t>
  </si>
  <si>
    <t>State Tax Withheld</t>
  </si>
  <si>
    <t>Federal Est. Tax Paid</t>
  </si>
  <si>
    <t>State Est. Tax Paid</t>
  </si>
  <si>
    <t>Running Sum</t>
  </si>
  <si>
    <t>Quarterly</t>
  </si>
  <si>
    <t>Income Source</t>
  </si>
  <si>
    <t>Wages/Salaries</t>
  </si>
  <si>
    <t>Short Term Capital Gains</t>
  </si>
  <si>
    <t>AMT Estimator</t>
  </si>
  <si>
    <t>AMT Exemption Phaseout Start</t>
  </si>
  <si>
    <t>AMT Exemption</t>
  </si>
  <si>
    <t>Reduced AMT Exemption</t>
  </si>
  <si>
    <t>Adjusted AMT Income</t>
  </si>
  <si>
    <t>Dividends and Long Term Cap Gains</t>
  </si>
  <si>
    <t>AMT Income Taxed at AMT Rate</t>
  </si>
  <si>
    <t>AMT Tax</t>
  </si>
  <si>
    <t>Long Term Capital Gains</t>
  </si>
  <si>
    <t>Taxable Income By Quarter</t>
  </si>
  <si>
    <t>AMT Tax Rate 1</t>
  </si>
  <si>
    <t>AMT Tax Rate 2</t>
  </si>
  <si>
    <t>IRA's are deducted from taxable income reported on W-2. 401(k)'s are already deducted from W-2 income</t>
  </si>
  <si>
    <t>AMT Income Minus Dividends and Cap Gains</t>
  </si>
  <si>
    <t>This will be somewhere between 26% and 28%</t>
  </si>
  <si>
    <t>AMT Blended Tax Rate</t>
  </si>
  <si>
    <t>Adjusted Total Income</t>
  </si>
  <si>
    <t>IRA Contribution and Other Adjustments</t>
  </si>
  <si>
    <t>Net Realized Short Term Cap. Gains</t>
  </si>
  <si>
    <t>Treasury Interest</t>
  </si>
  <si>
    <t>AMT taxes ordinary income only, so this is to reduce total income back to ordinary income only</t>
  </si>
  <si>
    <t>AMT reduced by any income over the exemption phaseout start amount</t>
  </si>
  <si>
    <t>Adjusted Total Income minus AMT exemption</t>
  </si>
  <si>
    <t>Federal Income Tax Already Paid</t>
  </si>
  <si>
    <t>AMT tax rate is 26% or 28%. AMT income that's over the 28% threshold is taxed at the 28% rate</t>
  </si>
  <si>
    <t>State Deduction</t>
  </si>
  <si>
    <t>Wages, Salaries, Tips, etc.</t>
  </si>
  <si>
    <t>Adjusted Gross Income</t>
  </si>
  <si>
    <t>Qualified Dividends</t>
  </si>
  <si>
    <t>Net Realized long term capital gains</t>
  </si>
  <si>
    <t>Taxable Income</t>
  </si>
  <si>
    <t>https://smartasset.com/taxes/income-taxes</t>
  </si>
  <si>
    <t>Federal Adjusted Gross Income</t>
  </si>
  <si>
    <t>Total Ordinary Income</t>
  </si>
  <si>
    <t>Business &amp; Other Income</t>
  </si>
  <si>
    <t>Tax Bracket</t>
  </si>
  <si>
    <t>Floor</t>
  </si>
  <si>
    <t>Income Year-to-Date</t>
  </si>
  <si>
    <t>Taxable Ordinary Income</t>
  </si>
  <si>
    <t>Estimated Tax on Ordinary Income</t>
  </si>
  <si>
    <t>Ordinary Income Tax Brackets</t>
  </si>
  <si>
    <t>Federal Income Tax Estimator</t>
  </si>
  <si>
    <t>replace yellow cells with data from appropriate year/bracket</t>
  </si>
  <si>
    <t>Tax Year-to-Date</t>
  </si>
  <si>
    <t>Estimated Income</t>
  </si>
  <si>
    <t>Estimated Qualified Dividends</t>
  </si>
  <si>
    <t>Estimated Tax on Income</t>
  </si>
  <si>
    <t>Long Term Capital Gain Tax Brackets</t>
  </si>
  <si>
    <t>Estimated Taxable Income</t>
  </si>
  <si>
    <t>Estimated Taxable Ordinary Income</t>
  </si>
  <si>
    <t>Estimated Taxable Dividends and Long Term Capital Gains</t>
  </si>
  <si>
    <t>Estimated Long Term Capital Gains Effective Tax Rate</t>
  </si>
  <si>
    <t>Estimated Ordinary Income Effective Tax Rate</t>
  </si>
  <si>
    <t>Ordinary Income Tax</t>
  </si>
  <si>
    <t>Long Term Capital Gains Tax</t>
  </si>
  <si>
    <t>Total Tax Owed</t>
  </si>
  <si>
    <t>Effective Tax Rate</t>
  </si>
  <si>
    <t>Tax to be Paid</t>
  </si>
  <si>
    <t>Net Investment Income</t>
  </si>
  <si>
    <t>Net Investment Income Tax</t>
  </si>
  <si>
    <t>$200,000 for single filers, $250,000 for married couples</t>
  </si>
  <si>
    <t>Net Investment Income Tax Rate</t>
  </si>
  <si>
    <t>Standard Deduction or Itemized Deduction Amount</t>
  </si>
  <si>
    <t>Estimated Net Long Term Capital Gains</t>
  </si>
  <si>
    <t>Federal Effective Tax Rate</t>
  </si>
  <si>
    <t>State Effective Tax Rate</t>
  </si>
  <si>
    <t>Taxable Inc. Min</t>
  </si>
  <si>
    <t>Taxable Inc. Max</t>
  </si>
  <si>
    <t>Income per Bracket</t>
  </si>
  <si>
    <t>Ordinary Income Threshold for Net Investment Income Tax</t>
  </si>
  <si>
    <t>https://smartasset.com/investing/capital-gains-tax-calculator</t>
  </si>
  <si>
    <t>State Tax Owed</t>
  </si>
  <si>
    <t>State Adjusted Gross Income</t>
  </si>
  <si>
    <t>State Taxable Income</t>
  </si>
  <si>
    <t>State Tax Paid</t>
  </si>
  <si>
    <t>Tax Paid</t>
  </si>
  <si>
    <t>Estimated Effective Tax Rate</t>
  </si>
  <si>
    <t>Estimated Tax on Long Term Capital Gains and Dividends</t>
  </si>
  <si>
    <t>Estimated Tax on Net Investment Income</t>
  </si>
  <si>
    <t>Estimated Net Investment Income Effective Tax Rate</t>
  </si>
  <si>
    <t>Estimated Net Investment Income</t>
  </si>
  <si>
    <t>Ordinary Income Tax Effective Rate</t>
  </si>
  <si>
    <t>Long Term Capital Gains Tax Effective Rate</t>
  </si>
  <si>
    <t>Net Short Term Capital Gains</t>
  </si>
  <si>
    <t>Federal Tax</t>
  </si>
  <si>
    <t>State Tax</t>
  </si>
  <si>
    <t>Total Tax</t>
  </si>
  <si>
    <t>Capital Gains/Losses</t>
  </si>
  <si>
    <t>Total Net Investment Income</t>
  </si>
  <si>
    <t>Estimated Interest</t>
  </si>
  <si>
    <t>Net Long Term Capital Gains</t>
  </si>
  <si>
    <t>Taxable Short Term Capital Gains</t>
  </si>
  <si>
    <t>Taxable Dividends and Net Long Term Capital Gains</t>
  </si>
  <si>
    <t>Estimated Wage Income</t>
  </si>
  <si>
    <t>Estimated Net Short Term Capital Gains</t>
  </si>
  <si>
    <t>Estimated Net Realized Gains</t>
  </si>
  <si>
    <t>Estimated Qualifed Dividends and Net Long Term Capital Gains</t>
  </si>
  <si>
    <t>Personal Exemption</t>
  </si>
  <si>
    <t>GA State Income Tax Estimator</t>
  </si>
  <si>
    <t>T-Interest</t>
  </si>
  <si>
    <t>ST Cap G</t>
  </si>
  <si>
    <t>LT Cap G</t>
  </si>
  <si>
    <t>Institution</t>
  </si>
  <si>
    <t xml:space="preserve">Since capital gains likely are lumpy and difficult to estimate, </t>
  </si>
  <si>
    <t>I am using the actual cap gains incurred. Override if you want to estimate</t>
  </si>
  <si>
    <t>JAN</t>
  </si>
  <si>
    <t>FEB</t>
  </si>
  <si>
    <t>APR</t>
  </si>
  <si>
    <t>MAY</t>
  </si>
  <si>
    <t>MAR</t>
  </si>
  <si>
    <t>JUN</t>
  </si>
  <si>
    <t>JUL</t>
  </si>
  <si>
    <t>AUG</t>
  </si>
  <si>
    <t>SEP</t>
  </si>
  <si>
    <t>OCT</t>
  </si>
  <si>
    <t>NOV</t>
  </si>
  <si>
    <t>DEC</t>
  </si>
  <si>
    <t>Estimated Georgia State Tax Rate</t>
  </si>
  <si>
    <t>Grand Totals</t>
  </si>
  <si>
    <t>AMT Tax Rate 2 Threshhold (AMTI)</t>
  </si>
  <si>
    <t>Conf. #:</t>
  </si>
  <si>
    <t>2022 Married Filing Jointly Brackets</t>
  </si>
  <si>
    <t>Edit the Institutions above for your set of accounts</t>
  </si>
  <si>
    <t>Includes Dec interest paid in Jan</t>
  </si>
  <si>
    <t>Retirement Income Exclusion (35 or 65K)</t>
  </si>
  <si>
    <t>Estimated Adjusted Gross Income (or actual AGI if greater)</t>
  </si>
  <si>
    <t>Optionally highlight the cells where you expect inputs</t>
  </si>
  <si>
    <t>Total / Year-to-Date  (useful to check against YTD numbers on statements)</t>
  </si>
  <si>
    <t>Brokerage 1</t>
  </si>
  <si>
    <t>Brokerage 2</t>
  </si>
  <si>
    <t>401K</t>
  </si>
  <si>
    <t>IRA</t>
  </si>
  <si>
    <t>Mutual Fund 1</t>
  </si>
  <si>
    <t>Mut Fund 2</t>
  </si>
  <si>
    <t>Bank 1</t>
  </si>
  <si>
    <t>Credit Union</t>
  </si>
  <si>
    <t>Credit Card</t>
  </si>
  <si>
    <t>Grants</t>
  </si>
  <si>
    <t>Options</t>
  </si>
  <si>
    <t>2023 numbers. This needs to be updated every year</t>
  </si>
  <si>
    <t>Source: taxfoundation.org</t>
  </si>
  <si>
    <t>2023 - Update yearly</t>
  </si>
  <si>
    <t>Self Employment Tax</t>
  </si>
  <si>
    <t>SS Limit</t>
  </si>
  <si>
    <t>SS Rate</t>
  </si>
  <si>
    <t>Medicare Rate</t>
  </si>
  <si>
    <t>Business &amp; Other Income (Self Employment Taxed)</t>
  </si>
  <si>
    <t>Income Tax Year-To-Date</t>
  </si>
  <si>
    <t>Self-Employment Tax Year-To-Date</t>
  </si>
  <si>
    <t>Self-Employment Tax</t>
  </si>
  <si>
    <t>Self-Employment Tax Rate</t>
  </si>
  <si>
    <t>Estimated Self-Employment Income</t>
  </si>
  <si>
    <t>Estimated SS and Medicare Tax on Self-Employment Income</t>
  </si>
  <si>
    <t>Estimated Net Self-Employment Effective Tax Rate</t>
  </si>
  <si>
    <t>Estimated Self-Employment Taxable Income (or actual if greater)</t>
  </si>
  <si>
    <t>Total Income Tax Owed</t>
  </si>
  <si>
    <t>Q1: 1/1/2023 to 3/31/2023</t>
  </si>
  <si>
    <t>Q2: 4/1/2023 to 5/31/2023</t>
  </si>
  <si>
    <t>Q3: 6/1/2023 to 8/31/2023</t>
  </si>
  <si>
    <t>Q4: 9/1/2023 to 12/31/2023</t>
  </si>
  <si>
    <t>Refund from 2022?</t>
  </si>
  <si>
    <t>Tax Due 4/18/2023</t>
  </si>
  <si>
    <t>Tax Due 6/15/2023</t>
  </si>
  <si>
    <t>Tax Due 9/15/2023</t>
  </si>
  <si>
    <t>Tax Due 1/15/2024</t>
  </si>
  <si>
    <t>W2</t>
  </si>
  <si>
    <t>1099-X</t>
  </si>
  <si>
    <t>https://www.halfpricesoft.com/2023/taxrate-Georgia-2023.asp</t>
  </si>
  <si>
    <t>2023 Married Filing Jointly Brackets</t>
  </si>
  <si>
    <t>2023 - Update Yearly - RECHECK THIS when GA publishes!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</si>
</sst>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#,##0_);[Red]\(&quot;$&quot;#,##0\)"/>
    <numFmt numFmtId="8" formatCode="&quot;$&quot;#,##0.00_);[Red]\(&quot;$&quot;#,##0.00\)"/>
    <numFmt numFmtId="164" formatCode="0.0%"/>
    <numFmt numFmtId="165" formatCode="&quot;$&quot;#,##0.00"/>
    <numFmt numFmtId="166" formatCode="&quot;$&quot;#,##0;[Red]&quot;$&quot;#,##0"/>
    <numFmt numFmtId="167" formatCode="&quot;$&quot;#,##0.00;[Red]&quot;$&quot;#,##0.00"/>
    <numFmt numFmtId="168" formatCode="&quot;$&quot;#,##0"/>
    <numFmt numFmtId="169" formatCode="_-&quot;$&quot;* #,##0.00_-;\-&quot;$&quot;* #,##0.00_-;_-&quot;$&quot;* &quot;-&quot;??_-;_-@_-"/>
    <numFmt numFmtId="170" formatCode="&quot;$&quot;#,##0.0"/>
    <numFmt numFmtId="171" formatCode="General;;"/>
  </numFmts>
  <fonts count="15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sz val="12"/>
      <name val="Arial"/>
      <family val="2"/>
    </font>
    <font>
      <sz val="10"/>
      <color rgb="FF333333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4"/>
      <name val="Arial"/>
    </font>
    <font>
      <sz val="10"/>
      <name val="HelveticaNeue"/>
    </font>
    <font>
      <sz val="10"/>
      <name val="Helvetica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8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" fillId="0" borderId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56">
    <xf numFmtId="0" fontId="0" fillId="0" borderId="0" xfId="0"/>
    <xf numFmtId="0" fontId="2" fillId="0" borderId="0" xfId="0" applyFont="1"/>
    <xf numFmtId="8" fontId="0" fillId="0" borderId="0" xfId="0" applyNumberFormat="1"/>
    <xf numFmtId="0" fontId="0" fillId="0" borderId="0" xfId="0" applyFont="1" applyFill="1" applyBorder="1"/>
    <xf numFmtId="8" fontId="0" fillId="0" borderId="0" xfId="0" applyNumberFormat="1" applyFill="1"/>
    <xf numFmtId="0" fontId="0" fillId="0" borderId="0" xfId="0" applyFill="1"/>
    <xf numFmtId="0" fontId="2" fillId="0" borderId="0" xfId="0" applyFont="1" applyFill="1"/>
    <xf numFmtId="0" fontId="3" fillId="0" borderId="0" xfId="0" applyFont="1"/>
    <xf numFmtId="0" fontId="3" fillId="0" borderId="0" xfId="0" applyFont="1" applyFill="1" applyBorder="1"/>
    <xf numFmtId="0" fontId="3" fillId="5" borderId="1" xfId="0" applyFont="1" applyFill="1" applyBorder="1"/>
    <xf numFmtId="0" fontId="0" fillId="5" borderId="1" xfId="0" applyFill="1" applyBorder="1"/>
    <xf numFmtId="0" fontId="0" fillId="5" borderId="0" xfId="0" applyFill="1"/>
    <xf numFmtId="8" fontId="0" fillId="5" borderId="0" xfId="0" applyNumberFormat="1" applyFill="1"/>
    <xf numFmtId="8" fontId="0" fillId="5" borderId="1" xfId="0" applyNumberFormat="1" applyFill="1" applyBorder="1"/>
    <xf numFmtId="0" fontId="0" fillId="5" borderId="0" xfId="0" applyFont="1" applyFill="1" applyBorder="1"/>
    <xf numFmtId="0" fontId="2" fillId="5" borderId="0" xfId="0" applyFont="1" applyFill="1"/>
    <xf numFmtId="0" fontId="2" fillId="5" borderId="1" xfId="0" applyFont="1" applyFill="1" applyBorder="1"/>
    <xf numFmtId="0" fontId="2" fillId="5" borderId="0" xfId="0" applyFont="1" applyFill="1" applyBorder="1"/>
    <xf numFmtId="0" fontId="0" fillId="5" borderId="1" xfId="0" applyFont="1" applyFill="1" applyBorder="1"/>
    <xf numFmtId="0" fontId="3" fillId="5" borderId="0" xfId="0" applyFont="1" applyFill="1" applyBorder="1" applyAlignment="1">
      <alignment horizontal="right"/>
    </xf>
    <xf numFmtId="8" fontId="0" fillId="3" borderId="2" xfId="0" applyNumberFormat="1" applyFill="1" applyBorder="1"/>
    <xf numFmtId="8" fontId="0" fillId="2" borderId="2" xfId="0" applyNumberFormat="1" applyFill="1" applyBorder="1"/>
    <xf numFmtId="0" fontId="4" fillId="0" borderId="0" xfId="0" applyFont="1"/>
    <xf numFmtId="0" fontId="7" fillId="0" borderId="0" xfId="0" applyFont="1"/>
    <xf numFmtId="8" fontId="0" fillId="3" borderId="2" xfId="0" applyNumberFormat="1" applyFont="1" applyFill="1" applyBorder="1"/>
    <xf numFmtId="166" fontId="0" fillId="3" borderId="2" xfId="0" applyNumberFormat="1" applyFill="1" applyBorder="1"/>
    <xf numFmtId="166" fontId="0" fillId="2" borderId="2" xfId="0" applyNumberFormat="1" applyFill="1" applyBorder="1"/>
    <xf numFmtId="10" fontId="0" fillId="2" borderId="2" xfId="0" applyNumberFormat="1" applyFill="1" applyBorder="1"/>
    <xf numFmtId="167" fontId="0" fillId="3" borderId="2" xfId="0" applyNumberFormat="1" applyFill="1" applyBorder="1"/>
    <xf numFmtId="0" fontId="0" fillId="0" borderId="0" xfId="0" applyAlignment="1">
      <alignment horizontal="left"/>
    </xf>
    <xf numFmtId="168" fontId="0" fillId="2" borderId="2" xfId="0" applyNumberFormat="1" applyFill="1" applyBorder="1"/>
    <xf numFmtId="165" fontId="0" fillId="3" borderId="2" xfId="0" applyNumberFormat="1" applyFill="1" applyBorder="1"/>
    <xf numFmtId="10" fontId="0" fillId="3" borderId="2" xfId="0" applyNumberFormat="1" applyFill="1" applyBorder="1"/>
    <xf numFmtId="0" fontId="8" fillId="0" borderId="0" xfId="0" applyFont="1"/>
    <xf numFmtId="166" fontId="0" fillId="2" borderId="3" xfId="0" applyNumberFormat="1" applyFill="1" applyBorder="1"/>
    <xf numFmtId="10" fontId="0" fillId="2" borderId="5" xfId="0" applyNumberFormat="1" applyFill="1" applyBorder="1"/>
    <xf numFmtId="0" fontId="9" fillId="0" borderId="0" xfId="0" applyFont="1"/>
    <xf numFmtId="1" fontId="8" fillId="0" borderId="0" xfId="0" applyNumberFormat="1" applyFont="1"/>
    <xf numFmtId="168" fontId="0" fillId="2" borderId="2" xfId="0" applyNumberFormat="1" applyFont="1" applyFill="1" applyBorder="1"/>
    <xf numFmtId="0" fontId="0" fillId="4" borderId="0" xfId="0" applyFont="1" applyFill="1"/>
    <xf numFmtId="0" fontId="0" fillId="4" borderId="0" xfId="0" applyFont="1" applyFill="1" applyAlignment="1">
      <alignment horizontal="center"/>
    </xf>
    <xf numFmtId="0" fontId="3" fillId="4" borderId="0" xfId="0" applyFont="1" applyFill="1"/>
    <xf numFmtId="8" fontId="0" fillId="4" borderId="0" xfId="0" applyNumberFormat="1" applyFont="1" applyFill="1"/>
    <xf numFmtId="0" fontId="4" fillId="4" borderId="0" xfId="0" applyFont="1" applyFill="1"/>
    <xf numFmtId="0" fontId="2" fillId="4" borderId="0" xfId="0" applyFont="1" applyFill="1" applyBorder="1"/>
    <xf numFmtId="0" fontId="0" fillId="4" borderId="0" xfId="0" applyFont="1" applyFill="1" applyBorder="1"/>
    <xf numFmtId="0" fontId="2" fillId="4" borderId="0" xfId="0" applyFont="1" applyFill="1"/>
    <xf numFmtId="164" fontId="0" fillId="4" borderId="0" xfId="0" applyNumberFormat="1" applyFont="1" applyFill="1" applyBorder="1"/>
    <xf numFmtId="164" fontId="7" fillId="4" borderId="0" xfId="0" applyNumberFormat="1" applyFont="1" applyFill="1" applyBorder="1"/>
    <xf numFmtId="0" fontId="7" fillId="4" borderId="0" xfId="0" applyFont="1" applyFill="1"/>
    <xf numFmtId="8" fontId="4" fillId="4" borderId="0" xfId="0" applyNumberFormat="1" applyFont="1" applyFill="1"/>
    <xf numFmtId="165" fontId="0" fillId="4" borderId="0" xfId="0" applyNumberFormat="1" applyFont="1" applyFill="1"/>
    <xf numFmtId="46" fontId="4" fillId="4" borderId="0" xfId="0" applyNumberFormat="1" applyFont="1" applyFill="1"/>
    <xf numFmtId="0" fontId="0" fillId="4" borderId="0" xfId="0" applyFill="1"/>
    <xf numFmtId="167" fontId="0" fillId="4" borderId="0" xfId="0" applyNumberFormat="1" applyFill="1"/>
    <xf numFmtId="167" fontId="0" fillId="4" borderId="0" xfId="0" applyNumberFormat="1" applyFill="1" applyBorder="1"/>
    <xf numFmtId="166" fontId="0" fillId="4" borderId="0" xfId="0" applyNumberFormat="1" applyFill="1" applyBorder="1"/>
    <xf numFmtId="166" fontId="0" fillId="4" borderId="0" xfId="0" applyNumberFormat="1" applyFill="1"/>
    <xf numFmtId="168" fontId="0" fillId="3" borderId="2" xfId="0" applyNumberFormat="1" applyFont="1" applyFill="1" applyBorder="1"/>
    <xf numFmtId="165" fontId="4" fillId="4" borderId="0" xfId="0" applyNumberFormat="1" applyFont="1" applyFill="1"/>
    <xf numFmtId="8" fontId="2" fillId="3" borderId="2" xfId="0" applyNumberFormat="1" applyFont="1" applyFill="1" applyBorder="1"/>
    <xf numFmtId="165" fontId="2" fillId="3" borderId="3" xfId="0" applyNumberFormat="1" applyFont="1" applyFill="1" applyBorder="1"/>
    <xf numFmtId="0" fontId="5" fillId="0" borderId="0" xfId="45"/>
    <xf numFmtId="164" fontId="0" fillId="3" borderId="2" xfId="0" applyNumberFormat="1" applyFill="1" applyBorder="1"/>
    <xf numFmtId="165" fontId="0" fillId="4" borderId="0" xfId="0" applyNumberFormat="1" applyFill="1"/>
    <xf numFmtId="8" fontId="0" fillId="3" borderId="4" xfId="0" applyNumberFormat="1" applyFill="1" applyBorder="1"/>
    <xf numFmtId="8" fontId="0" fillId="4" borderId="0" xfId="0" applyNumberFormat="1" applyFill="1"/>
    <xf numFmtId="164" fontId="0" fillId="4" borderId="0" xfId="0" applyNumberFormat="1" applyFill="1"/>
    <xf numFmtId="10" fontId="0" fillId="4" borderId="0" xfId="0" applyNumberFormat="1" applyFont="1" applyFill="1"/>
    <xf numFmtId="168" fontId="0" fillId="4" borderId="0" xfId="0" applyNumberFormat="1" applyFont="1" applyFill="1"/>
    <xf numFmtId="168" fontId="2" fillId="3" borderId="2" xfId="0" applyNumberFormat="1" applyFont="1" applyFill="1" applyBorder="1"/>
    <xf numFmtId="164" fontId="3" fillId="3" borderId="2" xfId="0" applyNumberFormat="1" applyFont="1" applyFill="1" applyBorder="1"/>
    <xf numFmtId="10" fontId="3" fillId="3" borderId="2" xfId="0" applyNumberFormat="1" applyFont="1" applyFill="1" applyBorder="1"/>
    <xf numFmtId="8" fontId="3" fillId="3" borderId="2" xfId="0" applyNumberFormat="1" applyFont="1" applyFill="1" applyBorder="1"/>
    <xf numFmtId="168" fontId="2" fillId="2" borderId="2" xfId="0" applyNumberFormat="1" applyFont="1" applyFill="1" applyBorder="1"/>
    <xf numFmtId="168" fontId="10" fillId="3" borderId="2" xfId="0" applyNumberFormat="1" applyFont="1" applyFill="1" applyBorder="1" applyAlignment="1">
      <alignment vertical="center"/>
    </xf>
    <xf numFmtId="164" fontId="10" fillId="2" borderId="2" xfId="0" applyNumberFormat="1" applyFont="1" applyFill="1" applyBorder="1" applyAlignment="1">
      <alignment vertical="center"/>
    </xf>
    <xf numFmtId="168" fontId="10" fillId="2" borderId="4" xfId="0" applyNumberFormat="1" applyFont="1" applyFill="1" applyBorder="1" applyAlignment="1">
      <alignment vertical="center"/>
    </xf>
    <xf numFmtId="168" fontId="10" fillId="2" borderId="2" xfId="0" applyNumberFormat="1" applyFont="1" applyFill="1" applyBorder="1" applyAlignment="1">
      <alignment vertical="center"/>
    </xf>
    <xf numFmtId="6" fontId="11" fillId="4" borderId="0" xfId="0" applyNumberFormat="1" applyFont="1" applyFill="1" applyAlignment="1">
      <alignment horizontal="center" vertical="center"/>
    </xf>
    <xf numFmtId="0" fontId="11" fillId="4" borderId="0" xfId="0" applyFont="1" applyFill="1" applyAlignment="1">
      <alignment horizontal="center" vertical="center"/>
    </xf>
    <xf numFmtId="10" fontId="2" fillId="2" borderId="2" xfId="0" applyNumberFormat="1" applyFont="1" applyFill="1" applyBorder="1"/>
    <xf numFmtId="169" fontId="10" fillId="3" borderId="2" xfId="0" applyNumberFormat="1" applyFont="1" applyFill="1" applyBorder="1" applyAlignment="1">
      <alignment vertical="center"/>
    </xf>
    <xf numFmtId="0" fontId="7" fillId="0" borderId="0" xfId="46" applyFont="1"/>
    <xf numFmtId="0" fontId="2" fillId="0" borderId="0" xfId="46"/>
    <xf numFmtId="165" fontId="2" fillId="6" borderId="2" xfId="46" applyNumberFormat="1" applyFill="1" applyBorder="1"/>
    <xf numFmtId="164" fontId="3" fillId="6" borderId="2" xfId="46" applyNumberFormat="1" applyFont="1" applyFill="1" applyBorder="1"/>
    <xf numFmtId="0" fontId="3" fillId="7" borderId="0" xfId="46" applyFont="1" applyFill="1"/>
    <xf numFmtId="8" fontId="2" fillId="6" borderId="4" xfId="46" applyNumberFormat="1" applyFill="1" applyBorder="1"/>
    <xf numFmtId="8" fontId="3" fillId="6" borderId="4" xfId="46" applyNumberFormat="1" applyFont="1" applyFill="1" applyBorder="1"/>
    <xf numFmtId="8" fontId="2" fillId="3" borderId="2" xfId="46" applyNumberFormat="1" applyFill="1" applyBorder="1"/>
    <xf numFmtId="40" fontId="0" fillId="3" borderId="2" xfId="0" applyNumberFormat="1" applyFill="1" applyBorder="1"/>
    <xf numFmtId="40" fontId="2" fillId="3" borderId="2" xfId="0" applyNumberFormat="1" applyFont="1" applyFill="1" applyBorder="1"/>
    <xf numFmtId="40" fontId="2" fillId="3" borderId="4" xfId="0" applyNumberFormat="1" applyFont="1" applyFill="1" applyBorder="1"/>
    <xf numFmtId="8" fontId="0" fillId="3" borderId="3" xfId="0" applyNumberFormat="1" applyFill="1" applyBorder="1"/>
    <xf numFmtId="168" fontId="0" fillId="3" borderId="2" xfId="0" applyNumberFormat="1" applyFill="1" applyBorder="1"/>
    <xf numFmtId="170" fontId="0" fillId="3" borderId="2" xfId="0" applyNumberFormat="1" applyFill="1" applyBorder="1"/>
    <xf numFmtId="168" fontId="0" fillId="4" borderId="0" xfId="0" applyNumberFormat="1" applyFill="1"/>
    <xf numFmtId="164" fontId="7" fillId="4" borderId="0" xfId="0" applyNumberFormat="1" applyFont="1" applyFill="1"/>
    <xf numFmtId="8" fontId="7" fillId="4" borderId="0" xfId="0" applyNumberFormat="1" applyFont="1" applyFill="1"/>
    <xf numFmtId="168" fontId="10" fillId="0" borderId="0" xfId="0" applyNumberFormat="1" applyFont="1" applyFill="1" applyBorder="1" applyAlignment="1">
      <alignment vertical="center"/>
    </xf>
    <xf numFmtId="164" fontId="10" fillId="0" borderId="0" xfId="0" applyNumberFormat="1" applyFont="1" applyFill="1" applyBorder="1" applyAlignment="1">
      <alignment vertical="center"/>
    </xf>
    <xf numFmtId="169" fontId="10" fillId="0" borderId="0" xfId="0" applyNumberFormat="1" applyFont="1" applyFill="1" applyBorder="1" applyAlignment="1">
      <alignment vertical="center"/>
    </xf>
    <xf numFmtId="168" fontId="10" fillId="3" borderId="3" xfId="0" applyNumberFormat="1" applyFont="1" applyFill="1" applyBorder="1" applyAlignment="1">
      <alignment vertical="center"/>
    </xf>
    <xf numFmtId="168" fontId="10" fillId="2" borderId="3" xfId="0" applyNumberFormat="1" applyFont="1" applyFill="1" applyBorder="1" applyAlignment="1">
      <alignment vertical="center"/>
    </xf>
    <xf numFmtId="164" fontId="10" fillId="2" borderId="3" xfId="0" applyNumberFormat="1" applyFont="1" applyFill="1" applyBorder="1" applyAlignment="1">
      <alignment vertical="center"/>
    </xf>
    <xf numFmtId="169" fontId="10" fillId="3" borderId="3" xfId="0" applyNumberFormat="1" applyFont="1" applyFill="1" applyBorder="1" applyAlignment="1">
      <alignment vertical="center"/>
    </xf>
    <xf numFmtId="168" fontId="10" fillId="0" borderId="6" xfId="0" applyNumberFormat="1" applyFont="1" applyFill="1" applyBorder="1" applyAlignment="1">
      <alignment vertical="center"/>
    </xf>
    <xf numFmtId="164" fontId="10" fillId="0" borderId="6" xfId="0" applyNumberFormat="1" applyFont="1" applyFill="1" applyBorder="1" applyAlignment="1">
      <alignment vertical="center"/>
    </xf>
    <xf numFmtId="169" fontId="10" fillId="0" borderId="6" xfId="0" applyNumberFormat="1" applyFont="1" applyFill="1" applyBorder="1" applyAlignment="1">
      <alignment vertical="center"/>
    </xf>
    <xf numFmtId="165" fontId="0" fillId="2" borderId="2" xfId="0" applyNumberFormat="1" applyFill="1" applyBorder="1"/>
    <xf numFmtId="165" fontId="0" fillId="8" borderId="2" xfId="0" applyNumberFormat="1" applyFill="1" applyBorder="1"/>
    <xf numFmtId="165" fontId="0" fillId="8" borderId="7" xfId="0" applyNumberFormat="1" applyFill="1" applyBorder="1"/>
    <xf numFmtId="165" fontId="0" fillId="8" borderId="4" xfId="0" applyNumberFormat="1" applyFill="1" applyBorder="1"/>
    <xf numFmtId="165" fontId="0" fillId="8" borderId="8" xfId="0" applyNumberFormat="1" applyFill="1" applyBorder="1"/>
    <xf numFmtId="165" fontId="0" fillId="4" borderId="2" xfId="0" applyNumberFormat="1" applyFill="1" applyBorder="1"/>
    <xf numFmtId="165" fontId="0" fillId="6" borderId="2" xfId="0" applyNumberFormat="1" applyFill="1" applyBorder="1"/>
    <xf numFmtId="0" fontId="0" fillId="0" borderId="0" xfId="0" applyNumberFormat="1"/>
    <xf numFmtId="0" fontId="0" fillId="4" borderId="6" xfId="0" applyFont="1" applyFill="1" applyBorder="1"/>
    <xf numFmtId="0" fontId="12" fillId="4" borderId="0" xfId="0" applyFont="1" applyFill="1"/>
    <xf numFmtId="0" fontId="0" fillId="0" borderId="0" xfId="0" applyFont="1"/>
    <xf numFmtId="0" fontId="0" fillId="0" borderId="2" xfId="0" applyBorder="1"/>
    <xf numFmtId="0" fontId="13" fillId="0" borderId="2" xfId="0" applyFont="1" applyBorder="1"/>
    <xf numFmtId="0" fontId="14" fillId="0" borderId="2" xfId="0" applyFont="1" applyBorder="1"/>
    <xf numFmtId="0" fontId="0" fillId="9" borderId="0" xfId="0" applyFill="1"/>
    <xf numFmtId="165" fontId="0" fillId="0" borderId="2" xfId="0" applyNumberFormat="1" applyFill="1" applyBorder="1"/>
    <xf numFmtId="165" fontId="0" fillId="9" borderId="2" xfId="0" applyNumberFormat="1" applyFill="1" applyBorder="1"/>
    <xf numFmtId="165" fontId="0" fillId="0" borderId="0" xfId="0" applyNumberFormat="1" applyFill="1" applyBorder="1"/>
    <xf numFmtId="49" fontId="3" fillId="0" borderId="0" xfId="0" applyNumberFormat="1" applyFont="1"/>
    <xf numFmtId="165" fontId="0" fillId="7" borderId="4" xfId="0" applyNumberFormat="1" applyFill="1" applyBorder="1"/>
    <xf numFmtId="165" fontId="0" fillId="7" borderId="8" xfId="0" applyNumberFormat="1" applyFill="1" applyBorder="1"/>
    <xf numFmtId="165" fontId="0" fillId="7" borderId="2" xfId="0" applyNumberFormat="1" applyFill="1" applyBorder="1"/>
    <xf numFmtId="165" fontId="0" fillId="2" borderId="10" xfId="0" applyNumberFormat="1" applyFill="1" applyBorder="1"/>
    <xf numFmtId="165" fontId="0" fillId="2" borderId="11" xfId="0" applyNumberFormat="1" applyFill="1" applyBorder="1"/>
    <xf numFmtId="165" fontId="0" fillId="4" borderId="13" xfId="0" applyNumberFormat="1" applyFill="1" applyBorder="1"/>
    <xf numFmtId="165" fontId="0" fillId="2" borderId="13" xfId="0" applyNumberFormat="1" applyFill="1" applyBorder="1"/>
    <xf numFmtId="165" fontId="0" fillId="0" borderId="15" xfId="0" applyNumberFormat="1" applyFill="1" applyBorder="1"/>
    <xf numFmtId="165" fontId="0" fillId="4" borderId="16" xfId="0" applyNumberFormat="1" applyFill="1" applyBorder="1"/>
    <xf numFmtId="165" fontId="0" fillId="0" borderId="13" xfId="0" applyNumberFormat="1" applyFill="1" applyBorder="1"/>
    <xf numFmtId="49" fontId="0" fillId="0" borderId="0" xfId="0" applyNumberFormat="1"/>
    <xf numFmtId="49" fontId="3" fillId="4" borderId="0" xfId="0" applyNumberFormat="1" applyFont="1" applyFill="1" applyBorder="1"/>
    <xf numFmtId="171" fontId="3" fillId="0" borderId="0" xfId="0" applyNumberFormat="1" applyFont="1"/>
    <xf numFmtId="165" fontId="0" fillId="2" borderId="9" xfId="0" applyNumberFormat="1" applyFill="1" applyBorder="1"/>
    <xf numFmtId="165" fontId="0" fillId="4" borderId="12" xfId="0" applyNumberFormat="1" applyFill="1" applyBorder="1"/>
    <xf numFmtId="165" fontId="0" fillId="2" borderId="12" xfId="0" applyNumberFormat="1" applyFill="1" applyBorder="1"/>
    <xf numFmtId="165" fontId="0" fillId="0" borderId="12" xfId="0" applyNumberFormat="1" applyFill="1" applyBorder="1"/>
    <xf numFmtId="165" fontId="0" fillId="4" borderId="14" xfId="0" applyNumberFormat="1" applyFill="1" applyBorder="1"/>
    <xf numFmtId="49" fontId="3" fillId="2" borderId="0" xfId="0" applyNumberFormat="1" applyFont="1" applyFill="1" applyBorder="1"/>
    <xf numFmtId="167" fontId="7" fillId="3" borderId="2" xfId="0" applyNumberFormat="1" applyFont="1" applyFill="1" applyBorder="1"/>
    <xf numFmtId="165" fontId="0" fillId="4" borderId="0" xfId="0" applyNumberFormat="1" applyFill="1" applyBorder="1"/>
    <xf numFmtId="0" fontId="0" fillId="7" borderId="0" xfId="0" applyFill="1"/>
    <xf numFmtId="168" fontId="0" fillId="6" borderId="2" xfId="0" applyNumberFormat="1" applyFill="1" applyBorder="1"/>
    <xf numFmtId="10" fontId="3" fillId="6" borderId="4" xfId="0" applyNumberFormat="1" applyFont="1" applyFill="1" applyBorder="1"/>
    <xf numFmtId="0" fontId="3" fillId="7" borderId="0" xfId="0" applyFont="1" applyFill="1"/>
    <xf numFmtId="10" fontId="3" fillId="4" borderId="0" xfId="0" applyNumberFormat="1" applyFont="1" applyFill="1" applyBorder="1"/>
    <xf numFmtId="49" fontId="0" fillId="5" borderId="0" xfId="0" applyNumberFormat="1" applyFill="1"/>
  </cellXfs>
  <cellStyles count="6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/>
    <cellStyle name="Normal" xfId="0" builtinId="0"/>
    <cellStyle name="Normal 2" xfId="46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smartasset.com/taxes/income-taxes" TargetMode="External"/><Relationship Id="rId2" Type="http://schemas.openxmlformats.org/officeDocument/2006/relationships/hyperlink" Target="https://smartasset.com/investing/capital-gains-tax-calculato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3:E23"/>
  <sheetViews>
    <sheetView showGridLines="0" tabSelected="1" zoomScale="150" zoomScaleNormal="150" zoomScalePageLayoutView="150" workbookViewId="0"/>
  </sheetViews>
  <sheetFormatPr baseColWidth="10" defaultRowHeight="12" x14ac:dyDescent="0"/>
  <cols>
    <col min="1" max="1" width="10.83203125" style="84"/>
    <col min="2" max="2" width="11.1640625" style="84" bestFit="1" customWidth="1"/>
    <col min="3" max="3" width="13.6640625" style="84" customWidth="1"/>
    <col min="4" max="16384" width="10.83203125" style="84"/>
  </cols>
  <sheetData>
    <row r="3" spans="2:5" ht="15">
      <c r="B3" s="83" t="s">
        <v>102</v>
      </c>
    </row>
    <row r="4" spans="2:5">
      <c r="B4" s="85">
        <f>'Federal Income Tax'!G3</f>
        <v>0</v>
      </c>
      <c r="C4" s="84" t="s">
        <v>73</v>
      </c>
      <c r="D4" s="86">
        <f>'Federal Income Tax'!I3</f>
        <v>0</v>
      </c>
      <c r="E4" s="87" t="s">
        <v>74</v>
      </c>
    </row>
    <row r="5" spans="2:5">
      <c r="B5" s="88">
        <f>'Federal Income Tax'!G4</f>
        <v>0</v>
      </c>
      <c r="C5" s="84" t="s">
        <v>93</v>
      </c>
      <c r="D5" s="89">
        <f>'Federal Income Tax'!I4</f>
        <v>0</v>
      </c>
      <c r="E5" s="87" t="s">
        <v>75</v>
      </c>
    </row>
    <row r="8" spans="2:5" ht="15">
      <c r="B8" s="83" t="s">
        <v>103</v>
      </c>
    </row>
    <row r="9" spans="2:5">
      <c r="B9" s="85">
        <f>'GA State Income Tax'!G3</f>
        <v>0</v>
      </c>
      <c r="C9" s="84" t="s">
        <v>73</v>
      </c>
      <c r="D9" s="86">
        <f>'GA State Income Tax'!I3</f>
        <v>0</v>
      </c>
      <c r="E9" s="87" t="s">
        <v>74</v>
      </c>
    </row>
    <row r="10" spans="2:5">
      <c r="B10" s="88">
        <f>'GA State Income Tax'!G4</f>
        <v>0</v>
      </c>
      <c r="C10" s="84" t="s">
        <v>93</v>
      </c>
      <c r="D10" s="89">
        <f>'GA State Income Tax'!I4</f>
        <v>0</v>
      </c>
      <c r="E10" s="87" t="s">
        <v>75</v>
      </c>
    </row>
    <row r="13" spans="2:5" ht="15">
      <c r="B13" s="83" t="s">
        <v>104</v>
      </c>
    </row>
    <row r="14" spans="2:5">
      <c r="B14" s="85">
        <f>B4+B9</f>
        <v>0</v>
      </c>
      <c r="C14" s="84" t="s">
        <v>73</v>
      </c>
      <c r="D14" s="86">
        <f>D4+D9</f>
        <v>0</v>
      </c>
      <c r="E14" s="87" t="s">
        <v>74</v>
      </c>
    </row>
    <row r="15" spans="2:5">
      <c r="B15" s="88">
        <f>B5+B10</f>
        <v>0</v>
      </c>
      <c r="C15" s="84" t="s">
        <v>93</v>
      </c>
      <c r="D15" s="89">
        <f>D5+D10</f>
        <v>0</v>
      </c>
      <c r="E15" s="87" t="s">
        <v>75</v>
      </c>
    </row>
    <row r="18" spans="2:3" ht="15">
      <c r="B18" s="83" t="s">
        <v>76</v>
      </c>
    </row>
    <row r="19" spans="2:3">
      <c r="B19" s="90">
        <f>'Quarterly Income'!F65</f>
        <v>0</v>
      </c>
      <c r="C19" s="84" t="s">
        <v>6</v>
      </c>
    </row>
    <row r="20" spans="2:3">
      <c r="B20" s="90">
        <f>'Quarterly Income'!F66</f>
        <v>0</v>
      </c>
      <c r="C20" s="84" t="s">
        <v>7</v>
      </c>
    </row>
    <row r="21" spans="2:3">
      <c r="B21" s="90">
        <f>'Quarterly Income'!F68+'Quarterly Income'!F69</f>
        <v>0</v>
      </c>
      <c r="C21" s="84" t="s">
        <v>105</v>
      </c>
    </row>
    <row r="23" spans="2:3">
      <c r="B23" s="90">
        <f>SUM(B19:B21)</f>
        <v>0</v>
      </c>
      <c r="C23" s="84" t="s">
        <v>106</v>
      </c>
    </row>
  </sheetData>
  <phoneticPr fontId="1" type="noConversion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2:N100"/>
  <sheetViews>
    <sheetView zoomScale="125" zoomScaleNormal="125" zoomScalePageLayoutView="125" workbookViewId="0">
      <selection activeCell="G95" sqref="G95"/>
    </sheetView>
  </sheetViews>
  <sheetFormatPr baseColWidth="10" defaultColWidth="8.83203125" defaultRowHeight="12" x14ac:dyDescent="0"/>
  <cols>
    <col min="1" max="1" width="8.83203125" style="39"/>
    <col min="2" max="2" width="13.6640625" style="39" customWidth="1"/>
    <col min="3" max="3" width="14.6640625" style="39" customWidth="1"/>
    <col min="4" max="5" width="14.33203125" style="39" customWidth="1"/>
    <col min="6" max="7" width="16" style="39" customWidth="1"/>
    <col min="8" max="8" width="16.1640625" style="39" customWidth="1"/>
    <col min="9" max="9" width="12.6640625" style="39" customWidth="1"/>
    <col min="10" max="10" width="16.1640625" style="39" customWidth="1"/>
    <col min="11" max="11" width="11.6640625" style="39" customWidth="1"/>
    <col min="12" max="12" width="12.1640625" style="39" customWidth="1"/>
    <col min="13" max="16384" width="8.83203125" style="39"/>
  </cols>
  <sheetData>
    <row r="2" spans="2:10" ht="15">
      <c r="B2" s="49" t="s">
        <v>59</v>
      </c>
      <c r="F2" s="43"/>
    </row>
    <row r="3" spans="2:10" ht="15">
      <c r="B3" s="49"/>
      <c r="F3" s="43"/>
      <c r="G3" s="31">
        <f>B87+G76</f>
        <v>0</v>
      </c>
      <c r="H3" s="46" t="s">
        <v>73</v>
      </c>
      <c r="I3" s="71">
        <f>B90</f>
        <v>0</v>
      </c>
      <c r="J3" s="41" t="s">
        <v>74</v>
      </c>
    </row>
    <row r="4" spans="2:10" ht="15">
      <c r="B4" s="49"/>
      <c r="F4" s="43"/>
      <c r="G4" s="20">
        <f>B88</f>
        <v>0</v>
      </c>
      <c r="H4" s="46" t="s">
        <v>93</v>
      </c>
      <c r="I4" s="73">
        <f>B91</f>
        <v>0</v>
      </c>
      <c r="J4" s="41" t="s">
        <v>75</v>
      </c>
    </row>
    <row r="6" spans="2:10">
      <c r="B6" s="30">
        <v>0</v>
      </c>
      <c r="C6" s="46" t="s">
        <v>111</v>
      </c>
      <c r="D6" s="53"/>
      <c r="E6" s="53"/>
      <c r="G6" s="43"/>
      <c r="H6" s="53"/>
      <c r="I6" s="53"/>
      <c r="J6" s="53"/>
    </row>
    <row r="7" spans="2:10">
      <c r="B7" s="30"/>
      <c r="C7" s="53" t="s">
        <v>107</v>
      </c>
      <c r="D7" s="53"/>
      <c r="E7" s="53"/>
      <c r="G7" s="43"/>
      <c r="H7" s="53"/>
      <c r="I7" s="53"/>
      <c r="J7" s="53"/>
    </row>
    <row r="8" spans="2:10">
      <c r="B8" s="30"/>
      <c r="C8" s="46" t="s">
        <v>63</v>
      </c>
      <c r="D8" s="53"/>
      <c r="E8" s="53"/>
      <c r="G8" s="53"/>
      <c r="H8" s="53"/>
      <c r="I8" s="53"/>
      <c r="J8" s="53"/>
    </row>
    <row r="9" spans="2:10">
      <c r="B9" s="30">
        <v>115000</v>
      </c>
      <c r="C9" s="39" t="s">
        <v>169</v>
      </c>
      <c r="D9" s="53"/>
      <c r="E9" s="53"/>
      <c r="G9" s="43"/>
      <c r="H9" s="53"/>
      <c r="I9" s="53"/>
      <c r="J9" s="53"/>
    </row>
    <row r="10" spans="2:10">
      <c r="B10" s="20">
        <f>C61</f>
        <v>0</v>
      </c>
      <c r="C10" s="46" t="s">
        <v>112</v>
      </c>
      <c r="D10" s="53"/>
      <c r="E10" s="53"/>
      <c r="G10" s="43" t="s">
        <v>121</v>
      </c>
      <c r="H10" s="53"/>
      <c r="I10" s="53"/>
      <c r="J10" s="53"/>
    </row>
    <row r="11" spans="2:10">
      <c r="B11" s="20">
        <f>C62</f>
        <v>0</v>
      </c>
      <c r="C11" s="46" t="s">
        <v>81</v>
      </c>
      <c r="D11" s="53"/>
      <c r="E11" s="53"/>
      <c r="G11" s="43" t="s">
        <v>122</v>
      </c>
      <c r="H11" s="53"/>
      <c r="I11" s="53"/>
      <c r="J11" s="53"/>
    </row>
    <row r="12" spans="2:10">
      <c r="B12" s="31">
        <f>C63</f>
        <v>0</v>
      </c>
      <c r="C12" s="46" t="s">
        <v>113</v>
      </c>
      <c r="D12" s="53"/>
      <c r="E12" s="53"/>
      <c r="G12" s="53"/>
      <c r="H12" s="53"/>
      <c r="I12" s="53"/>
      <c r="J12" s="53"/>
    </row>
    <row r="13" spans="2:10">
      <c r="B13" s="53"/>
      <c r="C13" s="46"/>
      <c r="D13" s="53"/>
      <c r="E13" s="53"/>
      <c r="G13" s="53"/>
      <c r="H13" s="53"/>
      <c r="I13" s="53"/>
      <c r="J13" s="53"/>
    </row>
    <row r="14" spans="2:10">
      <c r="B14" s="30">
        <v>27700</v>
      </c>
      <c r="C14" s="46" t="s">
        <v>80</v>
      </c>
      <c r="D14" s="53"/>
      <c r="E14" s="53"/>
      <c r="G14" s="43" t="s">
        <v>159</v>
      </c>
      <c r="H14" s="53"/>
      <c r="I14" s="53"/>
      <c r="J14" s="53"/>
    </row>
    <row r="15" spans="2:10">
      <c r="B15" s="53"/>
      <c r="C15" s="46"/>
      <c r="D15" s="53"/>
      <c r="E15" s="53"/>
      <c r="G15" s="43"/>
      <c r="H15" s="53"/>
      <c r="I15" s="53"/>
      <c r="J15" s="53"/>
    </row>
    <row r="16" spans="2:10">
      <c r="B16" s="30">
        <v>250000</v>
      </c>
      <c r="C16" s="46" t="s">
        <v>87</v>
      </c>
      <c r="D16" s="53"/>
      <c r="E16" s="53"/>
      <c r="G16" s="43" t="s">
        <v>78</v>
      </c>
      <c r="H16" s="53"/>
      <c r="I16" s="53"/>
      <c r="J16" s="53"/>
    </row>
    <row r="17" spans="2:10">
      <c r="B17" s="81">
        <v>3.7999999999999999E-2</v>
      </c>
      <c r="C17" s="46" t="s">
        <v>79</v>
      </c>
      <c r="D17" s="53"/>
      <c r="E17" s="53"/>
      <c r="G17" s="43"/>
      <c r="H17" s="53"/>
      <c r="I17" s="53"/>
      <c r="J17" s="53"/>
    </row>
    <row r="18" spans="2:10">
      <c r="B18" s="53"/>
      <c r="C18" s="46"/>
      <c r="D18" s="53"/>
      <c r="E18" s="53"/>
      <c r="G18" s="53"/>
      <c r="H18" s="53"/>
      <c r="I18" s="53"/>
      <c r="J18" s="53"/>
    </row>
    <row r="19" spans="2:10">
      <c r="B19" s="95">
        <f>B8+B11</f>
        <v>0</v>
      </c>
      <c r="C19" s="46" t="s">
        <v>114</v>
      </c>
      <c r="D19" s="53"/>
      <c r="E19" s="53"/>
      <c r="G19" s="53"/>
      <c r="H19" s="53"/>
      <c r="I19" s="53"/>
      <c r="J19" s="53"/>
    </row>
    <row r="20" spans="2:10">
      <c r="B20" s="53"/>
      <c r="C20" s="53"/>
      <c r="D20" s="53"/>
      <c r="E20" s="53"/>
      <c r="G20" s="53"/>
      <c r="H20" s="53"/>
      <c r="I20" s="53"/>
      <c r="J20" s="53"/>
    </row>
    <row r="21" spans="2:10">
      <c r="B21" s="95">
        <f>MAX(B6+B7+B8+B9+MAX(-3000, B12),B65)</f>
        <v>115000</v>
      </c>
      <c r="C21" s="39" t="s">
        <v>143</v>
      </c>
      <c r="D21" s="53"/>
      <c r="E21" s="53"/>
      <c r="G21" s="53"/>
      <c r="H21" s="53"/>
      <c r="I21" s="53"/>
      <c r="J21" s="53"/>
    </row>
    <row r="22" spans="2:10">
      <c r="B22" s="95">
        <f>MAX(B21-B14,0)</f>
        <v>87300</v>
      </c>
      <c r="C22" s="46" t="s">
        <v>66</v>
      </c>
      <c r="D22" s="53"/>
      <c r="E22" s="53"/>
      <c r="G22" s="53"/>
      <c r="H22" s="53"/>
      <c r="I22" s="53"/>
      <c r="J22" s="53"/>
    </row>
    <row r="23" spans="2:10">
      <c r="B23" s="95">
        <f>MAX(B22-B19,0)</f>
        <v>87300</v>
      </c>
      <c r="C23" s="46" t="s">
        <v>67</v>
      </c>
      <c r="D23" s="53"/>
      <c r="E23" s="53"/>
      <c r="G23" s="53"/>
      <c r="H23" s="53"/>
      <c r="I23" s="53"/>
      <c r="J23" s="53"/>
    </row>
    <row r="24" spans="2:10">
      <c r="B24" s="95">
        <f>MAX(B9,B48)</f>
        <v>115000</v>
      </c>
      <c r="C24" s="39" t="s">
        <v>172</v>
      </c>
      <c r="D24" s="53"/>
      <c r="E24" s="53"/>
      <c r="G24" s="53"/>
      <c r="H24" s="53"/>
      <c r="I24" s="53"/>
      <c r="J24" s="53"/>
    </row>
    <row r="25" spans="2:10">
      <c r="B25" s="95">
        <f>B22-B23</f>
        <v>0</v>
      </c>
      <c r="C25" s="46" t="s">
        <v>68</v>
      </c>
      <c r="D25" s="53"/>
      <c r="E25" s="53"/>
      <c r="G25" s="53"/>
      <c r="H25" s="53"/>
      <c r="I25" s="53"/>
      <c r="J25" s="53"/>
    </row>
    <row r="26" spans="2:10">
      <c r="B26" s="95">
        <f>B7+B8+B12</f>
        <v>0</v>
      </c>
      <c r="C26" s="46" t="s">
        <v>98</v>
      </c>
      <c r="D26" s="53"/>
      <c r="E26" s="53"/>
      <c r="G26" s="53"/>
      <c r="H26" s="53"/>
      <c r="I26" s="53"/>
      <c r="J26" s="53"/>
    </row>
    <row r="27" spans="2:10">
      <c r="B27" s="53"/>
      <c r="C27" s="53"/>
      <c r="D27" s="53"/>
      <c r="E27" s="53"/>
      <c r="G27" s="53"/>
      <c r="H27" s="53"/>
      <c r="I27" s="53"/>
      <c r="J27" s="53"/>
    </row>
    <row r="28" spans="2:10">
      <c r="B28" s="95">
        <f>VLOOKUP(B23,G45:J51,4) + (B23-VLOOKUP(B23,G45:J51,1))*VLOOKUP(B23,G45:J51,3)</f>
        <v>10035.880000000001</v>
      </c>
      <c r="C28" s="46" t="s">
        <v>57</v>
      </c>
      <c r="D28" s="53"/>
      <c r="E28" s="53"/>
      <c r="G28" s="43"/>
      <c r="H28" s="53"/>
      <c r="I28" s="53"/>
      <c r="J28" s="53"/>
    </row>
    <row r="29" spans="2:10">
      <c r="B29" s="72">
        <f>IF(B23=0,0,B28/B23)</f>
        <v>0.11495853379152349</v>
      </c>
      <c r="C29" s="41" t="s">
        <v>70</v>
      </c>
      <c r="D29" s="53"/>
      <c r="E29" s="53"/>
      <c r="G29" s="62" t="s">
        <v>49</v>
      </c>
      <c r="H29" s="53"/>
      <c r="I29" s="53"/>
      <c r="J29" s="53"/>
    </row>
    <row r="30" spans="2:10">
      <c r="B30" s="53"/>
      <c r="C30" s="53"/>
      <c r="D30" s="53"/>
      <c r="E30" s="53"/>
      <c r="G30" s="53"/>
      <c r="H30" s="53"/>
      <c r="I30" s="53"/>
      <c r="J30" s="53"/>
    </row>
    <row r="31" spans="2:10">
      <c r="B31" s="96">
        <f>J59*I59+J60*I60</f>
        <v>0</v>
      </c>
      <c r="C31" s="46" t="s">
        <v>95</v>
      </c>
      <c r="D31" s="53"/>
      <c r="E31" s="53"/>
      <c r="G31" s="53"/>
      <c r="H31" s="53"/>
      <c r="I31" s="53"/>
      <c r="J31" s="53"/>
    </row>
    <row r="32" spans="2:10">
      <c r="B32" s="72">
        <f>IF(B25=0,0,(J59*I59+J60*I60)/B25)</f>
        <v>0</v>
      </c>
      <c r="C32" s="41" t="s">
        <v>69</v>
      </c>
      <c r="D32" s="53"/>
      <c r="E32" s="53"/>
      <c r="G32" s="62" t="s">
        <v>88</v>
      </c>
      <c r="H32" s="53"/>
      <c r="I32" s="53"/>
      <c r="J32" s="53"/>
    </row>
    <row r="33" spans="1:14">
      <c r="B33" s="154"/>
      <c r="C33" s="41"/>
      <c r="D33" s="53"/>
      <c r="E33" s="53"/>
      <c r="G33" s="62"/>
      <c r="H33" s="53"/>
      <c r="I33" s="53"/>
      <c r="J33" s="53"/>
    </row>
    <row r="34" spans="1:14">
      <c r="A34" s="150"/>
      <c r="B34" s="151">
        <f>(B24*I67)+MIN(MAX(0,G67-MAX(B6,B44)),MAX(B9,B48))*H67</f>
        <v>17595</v>
      </c>
      <c r="C34" s="150" t="s">
        <v>170</v>
      </c>
      <c r="D34" s="150"/>
      <c r="E34" s="150"/>
      <c r="F34" s="150"/>
      <c r="G34" s="150"/>
      <c r="H34" s="150"/>
      <c r="I34" s="150"/>
      <c r="J34" s="150"/>
      <c r="K34" s="150"/>
      <c r="L34" s="150"/>
      <c r="M34" s="150"/>
      <c r="N34" s="150"/>
    </row>
    <row r="35" spans="1:14">
      <c r="A35" s="150"/>
      <c r="B35" s="152">
        <f>IF(B24=0,0,B34/B24)</f>
        <v>0.153</v>
      </c>
      <c r="C35" s="153" t="s">
        <v>171</v>
      </c>
      <c r="D35" s="153"/>
      <c r="E35" s="153"/>
      <c r="F35" s="153"/>
      <c r="G35" s="150"/>
      <c r="H35" s="150"/>
      <c r="I35" s="150"/>
      <c r="J35" s="150"/>
      <c r="K35" s="150"/>
      <c r="L35" s="150"/>
      <c r="M35" s="150"/>
      <c r="N35" s="150"/>
    </row>
    <row r="36" spans="1:14">
      <c r="A36" s="150"/>
      <c r="B36" s="150"/>
      <c r="C36" s="150"/>
      <c r="D36" s="150"/>
      <c r="E36" s="150"/>
      <c r="F36" s="150"/>
      <c r="G36" s="150"/>
      <c r="H36" s="150"/>
      <c r="I36" s="150"/>
      <c r="J36" s="150"/>
      <c r="K36" s="150"/>
      <c r="L36" s="150"/>
      <c r="M36" s="150"/>
      <c r="N36" s="150"/>
    </row>
    <row r="37" spans="1:14">
      <c r="B37" s="95">
        <f>(MIN(B26,MAX(B21-B16,0)))*B17</f>
        <v>0</v>
      </c>
      <c r="C37" s="46" t="s">
        <v>96</v>
      </c>
      <c r="D37" s="53"/>
      <c r="E37" s="53"/>
      <c r="G37" s="53"/>
      <c r="H37" s="53"/>
      <c r="I37" s="53"/>
      <c r="J37" s="53"/>
    </row>
    <row r="38" spans="1:14">
      <c r="B38" s="72">
        <f>IF(B26=0,0,B37/B26)</f>
        <v>0</v>
      </c>
      <c r="C38" s="41" t="s">
        <v>97</v>
      </c>
      <c r="D38" s="53"/>
      <c r="E38" s="53"/>
      <c r="G38" s="53"/>
      <c r="H38" s="53"/>
      <c r="I38" s="53"/>
      <c r="J38" s="53"/>
    </row>
    <row r="39" spans="1:14">
      <c r="B39" s="53"/>
      <c r="C39" s="53"/>
      <c r="D39" s="53"/>
      <c r="E39" s="53"/>
      <c r="G39" s="53"/>
      <c r="H39" s="53"/>
      <c r="I39" s="53"/>
      <c r="J39" s="53"/>
    </row>
    <row r="40" spans="1:14">
      <c r="B40" s="72">
        <f>IF(AND(B22 = 0, B24 = 0),0,(B28+B31+B34+B37)/B22)</f>
        <v>0.31650492554410081</v>
      </c>
      <c r="C40" s="41" t="s">
        <v>94</v>
      </c>
      <c r="D40" s="53"/>
      <c r="E40" s="53"/>
    </row>
    <row r="41" spans="1:14">
      <c r="B41" s="53"/>
      <c r="C41" s="53"/>
      <c r="D41" s="53"/>
      <c r="E41" s="53"/>
    </row>
    <row r="42" spans="1:14">
      <c r="B42" s="97"/>
      <c r="C42" s="46"/>
      <c r="D42" s="53"/>
      <c r="E42" s="53"/>
      <c r="F42" s="52"/>
      <c r="L42" s="69"/>
    </row>
    <row r="43" spans="1:14" ht="15">
      <c r="B43" s="98" t="s">
        <v>55</v>
      </c>
      <c r="C43" s="53"/>
      <c r="D43" s="53"/>
      <c r="E43" s="53"/>
      <c r="G43" s="49" t="s">
        <v>58</v>
      </c>
      <c r="H43" s="46"/>
      <c r="I43" s="46"/>
      <c r="J43" s="46"/>
    </row>
    <row r="44" spans="1:14">
      <c r="B44" s="31">
        <f>'Quarterly Income'!F63</f>
        <v>0</v>
      </c>
      <c r="C44" s="39" t="s">
        <v>44</v>
      </c>
      <c r="D44" s="53"/>
      <c r="E44" s="53"/>
      <c r="G44" s="79" t="s">
        <v>84</v>
      </c>
      <c r="H44" s="80" t="s">
        <v>85</v>
      </c>
      <c r="I44" s="80" t="s">
        <v>53</v>
      </c>
      <c r="J44" s="80" t="s">
        <v>54</v>
      </c>
    </row>
    <row r="45" spans="1:14">
      <c r="B45" s="64"/>
      <c r="C45" s="46"/>
      <c r="D45" s="53"/>
      <c r="E45" s="53"/>
      <c r="G45" s="75">
        <v>0</v>
      </c>
      <c r="H45" s="78">
        <v>22000</v>
      </c>
      <c r="I45" s="76">
        <v>0.1</v>
      </c>
      <c r="J45" s="75">
        <v>0</v>
      </c>
      <c r="M45" s="46"/>
    </row>
    <row r="46" spans="1:14">
      <c r="B46" s="20">
        <f>'Quarterly Income'!F67</f>
        <v>0</v>
      </c>
      <c r="C46" s="53" t="s">
        <v>37</v>
      </c>
      <c r="D46" s="53"/>
      <c r="E46" s="53"/>
      <c r="G46" s="75">
        <f t="shared" ref="G46:G51" si="0">H45+1</f>
        <v>22001</v>
      </c>
      <c r="H46" s="78">
        <v>89450</v>
      </c>
      <c r="I46" s="76">
        <v>0.12</v>
      </c>
      <c r="J46" s="75">
        <f t="shared" ref="J46:J51" si="1">CEILING((H45-G45)*I45+J45,0.5)</f>
        <v>2200</v>
      </c>
    </row>
    <row r="47" spans="1:14">
      <c r="B47" s="65">
        <f>'Quarterly Income'!F66</f>
        <v>0</v>
      </c>
      <c r="C47" s="53" t="s">
        <v>7</v>
      </c>
      <c r="D47" s="53"/>
      <c r="E47" s="53"/>
      <c r="G47" s="75">
        <f t="shared" si="0"/>
        <v>89451</v>
      </c>
      <c r="H47" s="78">
        <v>190750</v>
      </c>
      <c r="I47" s="76">
        <v>0.22</v>
      </c>
      <c r="J47" s="75">
        <f t="shared" si="1"/>
        <v>10294</v>
      </c>
    </row>
    <row r="48" spans="1:14">
      <c r="B48" s="31">
        <f>'Quarterly Income'!F64</f>
        <v>0</v>
      </c>
      <c r="C48" s="39" t="s">
        <v>164</v>
      </c>
      <c r="D48" s="53"/>
      <c r="E48" s="53"/>
      <c r="G48" s="75">
        <f t="shared" si="0"/>
        <v>190751</v>
      </c>
      <c r="H48" s="78">
        <v>364200</v>
      </c>
      <c r="I48" s="76">
        <v>0.24</v>
      </c>
      <c r="J48" s="75">
        <f t="shared" si="1"/>
        <v>32580</v>
      </c>
    </row>
    <row r="49" spans="2:14">
      <c r="B49" s="31">
        <f>SUM(B44:B48)</f>
        <v>0</v>
      </c>
      <c r="C49" s="46" t="s">
        <v>51</v>
      </c>
      <c r="D49" s="53"/>
      <c r="E49" s="53"/>
      <c r="G49" s="75">
        <f t="shared" si="0"/>
        <v>364201</v>
      </c>
      <c r="H49" s="78">
        <v>462500</v>
      </c>
      <c r="I49" s="76">
        <v>0.32</v>
      </c>
      <c r="J49" s="75">
        <f t="shared" si="1"/>
        <v>74208</v>
      </c>
    </row>
    <row r="50" spans="2:14">
      <c r="B50" s="53"/>
      <c r="C50" s="53"/>
      <c r="D50" s="53"/>
      <c r="E50" s="53"/>
      <c r="G50" s="75">
        <f t="shared" si="0"/>
        <v>462501</v>
      </c>
      <c r="H50" s="78">
        <v>693750</v>
      </c>
      <c r="I50" s="76">
        <v>0.35</v>
      </c>
      <c r="J50" s="75">
        <f t="shared" si="1"/>
        <v>105664</v>
      </c>
    </row>
    <row r="51" spans="2:14">
      <c r="B51" s="20">
        <f>'Quarterly Income'!F65</f>
        <v>0</v>
      </c>
      <c r="C51" s="53" t="s">
        <v>46</v>
      </c>
      <c r="D51" s="53"/>
      <c r="E51" s="53"/>
      <c r="G51" s="75">
        <f t="shared" si="0"/>
        <v>693751</v>
      </c>
      <c r="H51" s="78">
        <v>100000000</v>
      </c>
      <c r="I51" s="76">
        <v>0.37</v>
      </c>
      <c r="J51" s="75">
        <f t="shared" si="1"/>
        <v>186601.5</v>
      </c>
      <c r="M51" s="69"/>
    </row>
    <row r="52" spans="2:14">
      <c r="B52" s="53"/>
      <c r="C52" s="53"/>
      <c r="D52" s="53"/>
      <c r="E52" s="53"/>
      <c r="G52" s="39" t="s">
        <v>139</v>
      </c>
    </row>
    <row r="53" spans="2:14">
      <c r="B53" s="53"/>
      <c r="C53" s="21">
        <v>0</v>
      </c>
      <c r="D53" s="53" t="s">
        <v>2</v>
      </c>
      <c r="E53" s="53"/>
      <c r="G53" s="43" t="s">
        <v>60</v>
      </c>
    </row>
    <row r="54" spans="2:14">
      <c r="B54" s="53"/>
      <c r="C54" s="20">
        <f>'Quarterly Income'!F68</f>
        <v>0</v>
      </c>
      <c r="D54" s="53" t="s">
        <v>4</v>
      </c>
      <c r="E54" s="53"/>
    </row>
    <row r="55" spans="2:14">
      <c r="B55" s="53"/>
      <c r="C55" s="65">
        <f>SUM(C53:C54)</f>
        <v>0</v>
      </c>
      <c r="D55" s="46" t="s">
        <v>36</v>
      </c>
      <c r="E55" s="53"/>
    </row>
    <row r="56" spans="2:14" ht="15">
      <c r="B56" s="53"/>
      <c r="C56" s="53"/>
      <c r="D56" s="53"/>
      <c r="E56" s="53"/>
      <c r="G56" s="49" t="s">
        <v>65</v>
      </c>
    </row>
    <row r="57" spans="2:14">
      <c r="B57" s="53"/>
      <c r="C57" s="21">
        <v>0</v>
      </c>
      <c r="D57" s="53" t="s">
        <v>1</v>
      </c>
      <c r="E57" s="53"/>
      <c r="G57" s="79" t="s">
        <v>84</v>
      </c>
      <c r="H57" s="80" t="s">
        <v>85</v>
      </c>
      <c r="I57" s="80" t="s">
        <v>53</v>
      </c>
      <c r="J57" s="80" t="s">
        <v>86</v>
      </c>
    </row>
    <row r="58" spans="2:14">
      <c r="B58" s="53"/>
      <c r="C58" s="20">
        <f>'Quarterly Income'!F69</f>
        <v>0</v>
      </c>
      <c r="D58" s="53" t="s">
        <v>3</v>
      </c>
      <c r="E58" s="53"/>
      <c r="G58" s="75">
        <v>0</v>
      </c>
      <c r="H58" s="74">
        <v>89250</v>
      </c>
      <c r="I58" s="76">
        <v>0</v>
      </c>
      <c r="J58" s="70">
        <f>MIN(B22,H58) -MIN(B23,MIN(B22,H58))</f>
        <v>0</v>
      </c>
    </row>
    <row r="59" spans="2:14">
      <c r="B59" s="53"/>
      <c r="C59" s="20">
        <f>C58-C57</f>
        <v>0</v>
      </c>
      <c r="D59" s="46" t="s">
        <v>47</v>
      </c>
      <c r="E59" s="53"/>
      <c r="G59" s="75">
        <f t="shared" ref="G59:G60" si="2">H58+1</f>
        <v>89251</v>
      </c>
      <c r="H59" s="74">
        <v>553850</v>
      </c>
      <c r="I59" s="76">
        <v>0.15</v>
      </c>
      <c r="J59" s="70">
        <f>MIN(MAX(MIN(B22,H59) - (B23+J58),0),(B25-J58))</f>
        <v>0</v>
      </c>
    </row>
    <row r="60" spans="2:14" ht="13" customHeight="1">
      <c r="B60" s="53"/>
      <c r="C60" s="53"/>
      <c r="D60" s="53"/>
      <c r="E60" s="53"/>
      <c r="G60" s="75">
        <f t="shared" si="2"/>
        <v>553851</v>
      </c>
      <c r="H60" s="77">
        <v>100000000</v>
      </c>
      <c r="I60" s="76">
        <v>0.2</v>
      </c>
      <c r="J60" s="70">
        <f>B25 - (J58+J59)</f>
        <v>0</v>
      </c>
    </row>
    <row r="61" spans="2:14">
      <c r="B61" s="53"/>
      <c r="C61" s="92">
        <f>IF(C59&lt;0,C55+C59,C55)</f>
        <v>0</v>
      </c>
      <c r="D61" s="46" t="s">
        <v>101</v>
      </c>
      <c r="E61" s="53"/>
      <c r="G61" s="39" t="s">
        <v>139</v>
      </c>
    </row>
    <row r="62" spans="2:14">
      <c r="B62" s="53"/>
      <c r="C62" s="93">
        <f>IF(C55&lt;0, C55+C59,C59)</f>
        <v>0</v>
      </c>
      <c r="D62" s="46" t="s">
        <v>108</v>
      </c>
      <c r="E62" s="53"/>
      <c r="G62" s="43" t="s">
        <v>60</v>
      </c>
    </row>
    <row r="63" spans="2:14">
      <c r="B63" s="53"/>
      <c r="C63" s="91">
        <f>C55+C59</f>
        <v>0</v>
      </c>
      <c r="D63" s="46" t="s">
        <v>0</v>
      </c>
      <c r="E63" s="53"/>
      <c r="N63" s="46"/>
    </row>
    <row r="64" spans="2:14">
      <c r="B64" s="53"/>
      <c r="C64" s="53"/>
      <c r="D64" s="53"/>
      <c r="E64" s="53"/>
      <c r="N64" s="46"/>
    </row>
    <row r="65" spans="2:11" ht="15">
      <c r="B65" s="94">
        <f>B44+B46+B47+B48+B51+MAX(-3000,C63)</f>
        <v>0</v>
      </c>
      <c r="C65" s="53" t="s">
        <v>45</v>
      </c>
      <c r="D65" s="53"/>
      <c r="E65" s="41"/>
      <c r="G65" s="49" t="s">
        <v>160</v>
      </c>
    </row>
    <row r="66" spans="2:11">
      <c r="B66" s="20">
        <f>MAX(B65-B14,0)</f>
        <v>0</v>
      </c>
      <c r="C66" s="46" t="s">
        <v>48</v>
      </c>
      <c r="D66" s="53"/>
      <c r="E66" s="53"/>
      <c r="G66" s="79" t="s">
        <v>161</v>
      </c>
      <c r="H66" s="79" t="s">
        <v>162</v>
      </c>
      <c r="I66" s="79" t="s">
        <v>163</v>
      </c>
    </row>
    <row r="67" spans="2:11">
      <c r="B67" s="66"/>
      <c r="C67" s="46"/>
      <c r="D67" s="53"/>
      <c r="E67" s="41"/>
      <c r="G67" s="78">
        <v>160200</v>
      </c>
      <c r="H67" s="76">
        <v>0.124</v>
      </c>
      <c r="I67" s="76">
        <v>2.9000000000000001E-2</v>
      </c>
    </row>
    <row r="68" spans="2:11">
      <c r="B68" s="94">
        <f>MAX((B49-B14),0)</f>
        <v>0</v>
      </c>
      <c r="C68" s="46" t="s">
        <v>56</v>
      </c>
      <c r="D68" s="53"/>
      <c r="E68" s="41"/>
      <c r="G68" s="51"/>
      <c r="I68" s="68"/>
      <c r="K68" s="46"/>
    </row>
    <row r="69" spans="2:11">
      <c r="B69" s="20">
        <f>MAX(C61,0)</f>
        <v>0</v>
      </c>
      <c r="C69" s="46" t="s">
        <v>109</v>
      </c>
      <c r="D69" s="53"/>
      <c r="E69" s="41"/>
      <c r="K69" s="46"/>
    </row>
    <row r="70" spans="2:11">
      <c r="B70" s="66"/>
      <c r="C70" s="46"/>
      <c r="D70" s="53"/>
      <c r="E70" s="41"/>
      <c r="K70" s="46"/>
    </row>
    <row r="71" spans="2:11">
      <c r="B71" s="20">
        <f>C62+B51</f>
        <v>0</v>
      </c>
      <c r="C71" s="46" t="s">
        <v>110</v>
      </c>
      <c r="D71" s="53"/>
      <c r="E71" s="53"/>
      <c r="K71" s="46"/>
    </row>
    <row r="72" spans="2:11">
      <c r="B72" s="66"/>
      <c r="C72" s="46"/>
      <c r="D72" s="53"/>
      <c r="E72" s="53"/>
      <c r="K72" s="46"/>
    </row>
    <row r="73" spans="2:11">
      <c r="B73" s="20">
        <f>B46+B47+B51+C63</f>
        <v>0</v>
      </c>
      <c r="C73" s="46" t="s">
        <v>76</v>
      </c>
      <c r="D73" s="53"/>
      <c r="E73" s="53"/>
      <c r="G73" s="46"/>
    </row>
    <row r="74" spans="2:11">
      <c r="B74" s="53"/>
      <c r="C74" s="53"/>
      <c r="D74" s="53"/>
      <c r="E74" s="53"/>
      <c r="G74" s="46"/>
    </row>
    <row r="75" spans="2:11" ht="15">
      <c r="B75" s="49" t="s">
        <v>165</v>
      </c>
      <c r="C75" s="53"/>
      <c r="D75" s="53"/>
      <c r="E75" s="53"/>
      <c r="G75" s="49" t="s">
        <v>166</v>
      </c>
      <c r="H75" s="53"/>
      <c r="I75" s="53"/>
    </row>
    <row r="76" spans="2:11">
      <c r="B76" s="31">
        <f>(B68+B69)*B29</f>
        <v>0</v>
      </c>
      <c r="C76" s="46" t="s">
        <v>71</v>
      </c>
      <c r="D76" s="53"/>
      <c r="E76" s="53"/>
      <c r="G76" s="31">
        <f>(B48*I67)+MIN(MAX(0,G67-B44),B48)*H67</f>
        <v>0</v>
      </c>
      <c r="H76" s="39" t="s">
        <v>167</v>
      </c>
      <c r="I76" s="53"/>
    </row>
    <row r="77" spans="2:11">
      <c r="B77" s="72">
        <f>IF(B68=0,0,B76/B68)</f>
        <v>0</v>
      </c>
      <c r="C77" s="41" t="s">
        <v>99</v>
      </c>
      <c r="D77" s="53"/>
      <c r="E77" s="53"/>
      <c r="G77" s="72">
        <f>IF(B48=0,0,G76/B48)</f>
        <v>0</v>
      </c>
      <c r="H77" s="41" t="s">
        <v>168</v>
      </c>
      <c r="I77" s="53"/>
    </row>
    <row r="78" spans="2:11">
      <c r="B78" s="53"/>
      <c r="C78" s="46"/>
      <c r="D78" s="53"/>
      <c r="E78" s="53"/>
      <c r="G78" s="53"/>
      <c r="H78" s="46"/>
      <c r="I78" s="53"/>
    </row>
    <row r="79" spans="2:11">
      <c r="B79" s="31">
        <f>B71*B32</f>
        <v>0</v>
      </c>
      <c r="C79" s="46" t="s">
        <v>72</v>
      </c>
      <c r="D79" s="66"/>
      <c r="E79" s="53"/>
      <c r="G79" s="66"/>
    </row>
    <row r="80" spans="2:11">
      <c r="B80" s="72">
        <f>IF(B71=0,0,B79/B71)</f>
        <v>0</v>
      </c>
      <c r="C80" s="41" t="s">
        <v>100</v>
      </c>
      <c r="D80" s="66"/>
      <c r="E80" s="53"/>
      <c r="G80" s="66"/>
    </row>
    <row r="81" spans="2:8">
      <c r="B81" s="53"/>
      <c r="C81" s="46"/>
      <c r="D81" s="66"/>
      <c r="E81" s="53"/>
      <c r="G81" s="66"/>
    </row>
    <row r="82" spans="2:8">
      <c r="B82" s="31">
        <f>MAX((MIN(B73,MAX(B21-B16,0)))*B17,0)</f>
        <v>0</v>
      </c>
      <c r="C82" s="46" t="s">
        <v>77</v>
      </c>
      <c r="D82" s="66"/>
      <c r="E82" s="53"/>
      <c r="G82" s="66"/>
      <c r="H82" s="42"/>
    </row>
    <row r="83" spans="2:8">
      <c r="B83" s="72">
        <f>IF(B73=0,0,B82/B73)</f>
        <v>0</v>
      </c>
      <c r="C83" s="41" t="s">
        <v>79</v>
      </c>
      <c r="D83" s="66"/>
      <c r="E83" s="53"/>
      <c r="G83" s="66"/>
    </row>
    <row r="84" spans="2:8">
      <c r="B84" s="53"/>
      <c r="C84" s="46"/>
      <c r="D84" s="66"/>
      <c r="E84" s="53"/>
      <c r="G84" s="66"/>
    </row>
    <row r="85" spans="2:8">
      <c r="B85" s="31">
        <f>AMT!B25</f>
        <v>0</v>
      </c>
      <c r="C85" s="53" t="s">
        <v>25</v>
      </c>
      <c r="D85" s="66"/>
      <c r="E85" s="53"/>
      <c r="G85" s="66"/>
    </row>
    <row r="86" spans="2:8">
      <c r="B86" s="149"/>
      <c r="C86" s="53"/>
      <c r="D86" s="66"/>
      <c r="E86" s="53"/>
      <c r="G86" s="66"/>
    </row>
    <row r="87" spans="2:8">
      <c r="B87" s="61">
        <f>SUM(B76+B79+B82+B85)</f>
        <v>0</v>
      </c>
      <c r="C87" s="39" t="s">
        <v>173</v>
      </c>
      <c r="D87" s="50"/>
      <c r="E87" s="53"/>
      <c r="G87" s="50"/>
    </row>
    <row r="88" spans="2:8">
      <c r="B88" s="60">
        <f>'Quarterly Income'!F74</f>
        <v>0</v>
      </c>
      <c r="C88" s="46" t="s">
        <v>93</v>
      </c>
      <c r="D88" s="50"/>
      <c r="E88" s="53"/>
      <c r="G88" s="50"/>
    </row>
    <row r="89" spans="2:8">
      <c r="B89" s="67"/>
      <c r="C89" s="46"/>
      <c r="D89" s="50"/>
      <c r="E89" s="53"/>
      <c r="G89" s="50"/>
    </row>
    <row r="90" spans="2:8">
      <c r="B90" s="71">
        <f>IF(AND(B66 = 0,G76=0),0,(B87+G76)/B66)</f>
        <v>0</v>
      </c>
      <c r="C90" s="41" t="s">
        <v>74</v>
      </c>
      <c r="D90" s="50"/>
      <c r="E90" s="53"/>
      <c r="G90" s="50"/>
    </row>
    <row r="91" spans="2:8">
      <c r="B91" s="73">
        <f>MAX(G76+B87-B88,0)</f>
        <v>0</v>
      </c>
      <c r="C91" s="41" t="s">
        <v>75</v>
      </c>
      <c r="D91" s="50"/>
      <c r="E91" s="53"/>
      <c r="G91" s="50"/>
    </row>
    <row r="92" spans="2:8">
      <c r="B92" s="53"/>
      <c r="C92" s="53"/>
      <c r="D92" s="53"/>
      <c r="E92" s="53"/>
    </row>
    <row r="93" spans="2:8">
      <c r="B93" s="53"/>
      <c r="C93" s="53"/>
      <c r="D93" s="53"/>
      <c r="E93" s="53"/>
      <c r="H93" s="40"/>
    </row>
    <row r="94" spans="2:8">
      <c r="H94" s="40"/>
    </row>
    <row r="95" spans="2:8">
      <c r="H95" s="40"/>
    </row>
    <row r="96" spans="2:8">
      <c r="H96" s="40"/>
    </row>
    <row r="97" spans="8:8">
      <c r="H97" s="40"/>
    </row>
    <row r="98" spans="8:8">
      <c r="H98" s="40"/>
    </row>
    <row r="99" spans="8:8">
      <c r="H99" s="40"/>
    </row>
    <row r="100" spans="8:8">
      <c r="H100" s="40"/>
    </row>
  </sheetData>
  <phoneticPr fontId="1" type="noConversion"/>
  <hyperlinks>
    <hyperlink ref="G29" r:id="rId1"/>
    <hyperlink ref="G32" r:id="rId2"/>
  </hyperlinks>
  <pageMargins left="0.75" right="0.75" top="1" bottom="1" header="0.5" footer="0.5"/>
  <pageSetup scale="58" orientation="portrait" horizontalDpi="4294967293" verticalDpi="4294967293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pageSetUpPr fitToPage="1"/>
  </sheetPr>
  <dimension ref="B2:J46"/>
  <sheetViews>
    <sheetView showGridLines="0" zoomScale="125" zoomScaleNormal="125" zoomScalePageLayoutView="125" workbookViewId="0">
      <selection activeCell="F31" sqref="F31"/>
    </sheetView>
  </sheetViews>
  <sheetFormatPr baseColWidth="10" defaultColWidth="8.83203125" defaultRowHeight="12" x14ac:dyDescent="0"/>
  <cols>
    <col min="1" max="1" width="8.83203125" style="39"/>
    <col min="2" max="2" width="13.6640625" style="39" customWidth="1"/>
    <col min="3" max="3" width="15.33203125" style="39" customWidth="1"/>
    <col min="4" max="4" width="13.83203125" style="39" customWidth="1"/>
    <col min="5" max="5" width="14.33203125" style="39" customWidth="1"/>
    <col min="6" max="6" width="17.1640625" style="39" customWidth="1"/>
    <col min="7" max="8" width="15.33203125" style="39" customWidth="1"/>
    <col min="9" max="9" width="13.33203125" style="39" customWidth="1"/>
    <col min="10" max="10" width="12.6640625" style="39" customWidth="1"/>
    <col min="11" max="16384" width="8.83203125" style="39"/>
  </cols>
  <sheetData>
    <row r="2" spans="2:10" ht="15">
      <c r="B2" s="49" t="s">
        <v>116</v>
      </c>
      <c r="F2" s="43"/>
    </row>
    <row r="3" spans="2:10" ht="15">
      <c r="B3" s="49"/>
      <c r="F3" s="43"/>
      <c r="G3" s="24">
        <f>B27</f>
        <v>0</v>
      </c>
      <c r="H3" s="44" t="s">
        <v>89</v>
      </c>
      <c r="I3" s="71">
        <f>B30</f>
        <v>0</v>
      </c>
      <c r="J3" s="41" t="s">
        <v>83</v>
      </c>
    </row>
    <row r="4" spans="2:10" ht="15">
      <c r="B4" s="49"/>
      <c r="F4" s="43"/>
      <c r="G4" s="24">
        <f>B28</f>
        <v>0</v>
      </c>
      <c r="H4" s="46" t="s">
        <v>92</v>
      </c>
      <c r="I4" s="73">
        <f>B31</f>
        <v>0</v>
      </c>
      <c r="J4" s="41" t="s">
        <v>5</v>
      </c>
    </row>
    <row r="5" spans="2:10" ht="15">
      <c r="B5" s="49"/>
      <c r="F5" s="43"/>
    </row>
    <row r="7" spans="2:10">
      <c r="B7" s="58">
        <f>'Federal Income Tax'!B21</f>
        <v>115000</v>
      </c>
      <c r="C7" s="46" t="s">
        <v>62</v>
      </c>
      <c r="D7" s="43"/>
      <c r="E7" s="43"/>
    </row>
    <row r="8" spans="2:10">
      <c r="B8" s="38">
        <v>7100</v>
      </c>
      <c r="C8" s="45" t="s">
        <v>43</v>
      </c>
      <c r="E8" s="39" t="s">
        <v>187</v>
      </c>
      <c r="G8" s="43"/>
    </row>
    <row r="9" spans="2:10">
      <c r="B9" s="38">
        <v>7400</v>
      </c>
      <c r="C9" s="45" t="s">
        <v>115</v>
      </c>
      <c r="G9" s="43"/>
    </row>
    <row r="10" spans="2:10">
      <c r="B10" s="38">
        <v>0</v>
      </c>
      <c r="C10" s="45" t="s">
        <v>142</v>
      </c>
      <c r="G10" s="43"/>
    </row>
    <row r="11" spans="2:10">
      <c r="B11" s="58">
        <f>MAX(B7-B8-B9-B10,0)</f>
        <v>100500</v>
      </c>
      <c r="C11" s="46" t="s">
        <v>48</v>
      </c>
      <c r="D11" s="43"/>
      <c r="G11" s="43"/>
    </row>
    <row r="12" spans="2:10">
      <c r="B12" s="47"/>
      <c r="D12" s="43"/>
      <c r="G12" s="43"/>
    </row>
    <row r="13" spans="2:10">
      <c r="B13" s="58">
        <f>VLOOKUP(B11,G20:J29,4) + (B11-VLOOKUP(B11,G20:J29,1))*VLOOKUP(B11,G20:J29,3)</f>
        <v>5543.6925000000001</v>
      </c>
      <c r="C13" s="46" t="s">
        <v>64</v>
      </c>
      <c r="D13" s="43"/>
      <c r="G13" s="43"/>
    </row>
    <row r="14" spans="2:10">
      <c r="B14" s="71">
        <f>IF(B11=0,0,B13/B11)</f>
        <v>5.5161119402985077E-2</v>
      </c>
      <c r="C14" s="41" t="s">
        <v>135</v>
      </c>
      <c r="F14" s="43"/>
      <c r="G14" s="62"/>
    </row>
    <row r="15" spans="2:10">
      <c r="B15" s="47"/>
    </row>
    <row r="17" spans="2:10">
      <c r="B17" s="47"/>
    </row>
    <row r="18" spans="2:10" ht="15">
      <c r="B18" s="48" t="s">
        <v>55</v>
      </c>
      <c r="G18" s="49" t="s">
        <v>58</v>
      </c>
    </row>
    <row r="19" spans="2:10">
      <c r="B19" s="20">
        <f>'Federal Income Tax'!B65</f>
        <v>0</v>
      </c>
      <c r="C19" s="46" t="s">
        <v>50</v>
      </c>
      <c r="G19" s="79" t="s">
        <v>84</v>
      </c>
      <c r="H19" s="80" t="s">
        <v>85</v>
      </c>
      <c r="I19" s="80" t="s">
        <v>53</v>
      </c>
      <c r="J19" s="80" t="s">
        <v>54</v>
      </c>
    </row>
    <row r="20" spans="2:10">
      <c r="B20" s="20">
        <f>'Quarterly Income'!F67</f>
        <v>0</v>
      </c>
      <c r="C20" s="46" t="s">
        <v>37</v>
      </c>
      <c r="F20" s="41"/>
      <c r="G20" s="75">
        <v>0</v>
      </c>
      <c r="H20" s="78">
        <v>1000</v>
      </c>
      <c r="I20" s="76">
        <v>0.01</v>
      </c>
      <c r="J20" s="75">
        <v>0</v>
      </c>
    </row>
    <row r="21" spans="2:10">
      <c r="B21" s="53"/>
      <c r="C21" s="46"/>
      <c r="G21" s="75">
        <f>H20+1</f>
        <v>1001</v>
      </c>
      <c r="H21" s="78">
        <v>3000</v>
      </c>
      <c r="I21" s="76">
        <v>0.02</v>
      </c>
      <c r="J21" s="82">
        <f>CEILING((H20-G20)*I20+J20,0.5)</f>
        <v>10</v>
      </c>
    </row>
    <row r="22" spans="2:10">
      <c r="B22" s="20">
        <f>B19-B20</f>
        <v>0</v>
      </c>
      <c r="C22" s="44" t="s">
        <v>90</v>
      </c>
      <c r="G22" s="75">
        <f>H21+1</f>
        <v>3001</v>
      </c>
      <c r="H22" s="78">
        <v>5000</v>
      </c>
      <c r="I22" s="76">
        <v>0.03</v>
      </c>
      <c r="J22" s="82">
        <f>CEILING((H21-G21)*I21+J21,0.5)</f>
        <v>50</v>
      </c>
    </row>
    <row r="23" spans="2:10">
      <c r="B23" s="31">
        <f>MAX(B22-B8,0)</f>
        <v>0</v>
      </c>
      <c r="C23" s="44" t="s">
        <v>91</v>
      </c>
      <c r="G23" s="75">
        <f t="shared" ref="G23:G25" si="0">H22+1</f>
        <v>5001</v>
      </c>
      <c r="H23" s="78">
        <v>7000</v>
      </c>
      <c r="I23" s="76">
        <v>0.04</v>
      </c>
      <c r="J23" s="82">
        <f t="shared" ref="J23:J25" si="1">CEILING((H22-G22)*I22+J22,0.5)</f>
        <v>110</v>
      </c>
    </row>
    <row r="24" spans="2:10">
      <c r="B24" s="53"/>
      <c r="G24" s="75">
        <f t="shared" si="0"/>
        <v>7001</v>
      </c>
      <c r="H24" s="78">
        <v>10000</v>
      </c>
      <c r="I24" s="76">
        <v>0.05</v>
      </c>
      <c r="J24" s="82">
        <f t="shared" si="1"/>
        <v>190</v>
      </c>
    </row>
    <row r="25" spans="2:10">
      <c r="B25" s="53"/>
      <c r="G25" s="103">
        <f t="shared" si="0"/>
        <v>10001</v>
      </c>
      <c r="H25" s="104">
        <v>100000000</v>
      </c>
      <c r="I25" s="105">
        <v>5.7500000000000002E-2</v>
      </c>
      <c r="J25" s="106">
        <f t="shared" si="1"/>
        <v>340</v>
      </c>
    </row>
    <row r="26" spans="2:10" ht="15">
      <c r="B26" s="99" t="s">
        <v>61</v>
      </c>
      <c r="D26" s="42"/>
      <c r="G26" s="118" t="s">
        <v>186</v>
      </c>
      <c r="H26" s="107"/>
      <c r="I26" s="108"/>
      <c r="J26" s="109"/>
    </row>
    <row r="27" spans="2:10" ht="14" customHeight="1">
      <c r="B27" s="20">
        <f>B23*B14</f>
        <v>0</v>
      </c>
      <c r="C27" s="44" t="s">
        <v>89</v>
      </c>
      <c r="G27" s="43" t="s">
        <v>60</v>
      </c>
      <c r="H27" s="100"/>
      <c r="I27" s="101"/>
      <c r="J27" s="102"/>
    </row>
    <row r="28" spans="2:10" ht="14" customHeight="1">
      <c r="B28" s="20">
        <f>'Quarterly Income'!F78</f>
        <v>0</v>
      </c>
      <c r="C28" s="46" t="s">
        <v>92</v>
      </c>
      <c r="E28" s="41"/>
      <c r="G28" s="100" t="s">
        <v>185</v>
      </c>
      <c r="H28" s="100"/>
      <c r="I28" s="101"/>
      <c r="J28" s="102"/>
    </row>
    <row r="29" spans="2:10">
      <c r="B29" s="53"/>
      <c r="E29" s="59"/>
      <c r="G29" s="100"/>
      <c r="H29" s="100"/>
      <c r="I29" s="101"/>
      <c r="J29" s="102"/>
    </row>
    <row r="30" spans="2:10">
      <c r="B30" s="71">
        <f>IF(B23 = 0,0,B27/B23)</f>
        <v>0</v>
      </c>
      <c r="C30" s="41" t="s">
        <v>83</v>
      </c>
      <c r="D30" s="42"/>
      <c r="E30" s="43"/>
    </row>
    <row r="31" spans="2:10">
      <c r="B31" s="73">
        <f>MAX(0,B27-B28)</f>
        <v>0</v>
      </c>
      <c r="C31" s="41" t="s">
        <v>5</v>
      </c>
      <c r="E31" s="50"/>
    </row>
    <row r="34" spans="8:8">
      <c r="H34" s="40"/>
    </row>
    <row r="35" spans="8:8">
      <c r="H35" s="40"/>
    </row>
    <row r="36" spans="8:8">
      <c r="H36" s="40"/>
    </row>
    <row r="37" spans="8:8">
      <c r="H37" s="40"/>
    </row>
    <row r="38" spans="8:8">
      <c r="H38" s="40"/>
    </row>
    <row r="39" spans="8:8">
      <c r="H39" s="40"/>
    </row>
    <row r="40" spans="8:8">
      <c r="H40" s="40"/>
    </row>
    <row r="41" spans="8:8">
      <c r="H41" s="40"/>
    </row>
    <row r="42" spans="8:8">
      <c r="H42" s="40"/>
    </row>
    <row r="43" spans="8:8">
      <c r="H43" s="40"/>
    </row>
    <row r="44" spans="8:8">
      <c r="H44" s="40"/>
    </row>
    <row r="45" spans="8:8">
      <c r="H45" s="40"/>
    </row>
    <row r="46" spans="8:8">
      <c r="H46" s="40"/>
    </row>
  </sheetData>
  <phoneticPr fontId="1" type="noConversion"/>
  <pageMargins left="0.75" right="0.75" top="1" bottom="1" header="0.5" footer="0.5"/>
  <pageSetup scale="72" orientation="landscape" horizontalDpi="4294967293" verticalDpi="4294967293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pageSetUpPr fitToPage="1"/>
  </sheetPr>
  <dimension ref="B1:AL100"/>
  <sheetViews>
    <sheetView showGridLines="0" workbookViewId="0">
      <selection activeCell="B107" sqref="B107"/>
    </sheetView>
  </sheetViews>
  <sheetFormatPr baseColWidth="10" defaultColWidth="8.83203125" defaultRowHeight="12" x14ac:dyDescent="0"/>
  <cols>
    <col min="2" max="2" width="21.5" customWidth="1"/>
    <col min="3" max="3" width="11.5" customWidth="1"/>
    <col min="4" max="4" width="6.33203125" customWidth="1"/>
    <col min="5" max="5" width="3.5" customWidth="1"/>
    <col min="6" max="6" width="16.5" customWidth="1"/>
    <col min="8" max="8" width="17.5" customWidth="1"/>
    <col min="9" max="9" width="1.83203125" customWidth="1"/>
    <col min="10" max="10" width="8.83203125" style="29" customWidth="1"/>
    <col min="11" max="11" width="13.1640625" customWidth="1"/>
    <col min="12" max="12" width="10.6640625" customWidth="1"/>
    <col min="13" max="13" width="10.33203125" customWidth="1"/>
    <col min="14" max="14" width="11.6640625" customWidth="1"/>
    <col min="15" max="15" width="10.83203125" customWidth="1"/>
    <col min="16" max="16" width="11.1640625" customWidth="1"/>
    <col min="17" max="17" width="5.83203125" customWidth="1"/>
    <col min="18" max="18" width="12.5" customWidth="1"/>
    <col min="20" max="20" width="9.33203125" customWidth="1"/>
    <col min="21" max="21" width="11" customWidth="1"/>
    <col min="22" max="22" width="10" customWidth="1"/>
    <col min="23" max="23" width="12.33203125" customWidth="1"/>
    <col min="24" max="24" width="5.6640625" customWidth="1"/>
    <col min="25" max="25" width="12.6640625" customWidth="1"/>
    <col min="28" max="28" width="10.1640625" customWidth="1"/>
    <col min="29" max="29" width="9.1640625" bestFit="1" customWidth="1"/>
    <col min="30" max="30" width="10" customWidth="1"/>
    <col min="31" max="31" width="5.1640625" customWidth="1"/>
    <col min="32" max="32" width="12.1640625" customWidth="1"/>
    <col min="35" max="35" width="9" customWidth="1"/>
    <col min="36" max="36" width="9.1640625" bestFit="1" customWidth="1"/>
    <col min="37" max="37" width="10.83203125" customWidth="1"/>
  </cols>
  <sheetData>
    <row r="1" spans="2:38">
      <c r="C1" s="124"/>
    </row>
    <row r="2" spans="2:38" ht="15">
      <c r="B2" s="23" t="s">
        <v>27</v>
      </c>
    </row>
    <row r="3" spans="2:38">
      <c r="H3" s="5"/>
    </row>
    <row r="4" spans="2:38">
      <c r="B4" s="7" t="s">
        <v>174</v>
      </c>
      <c r="F4" s="7" t="s">
        <v>179</v>
      </c>
      <c r="K4" s="128" t="s">
        <v>123</v>
      </c>
      <c r="R4" s="128" t="s">
        <v>124</v>
      </c>
      <c r="Y4" s="128" t="s">
        <v>127</v>
      </c>
    </row>
    <row r="5" spans="2:38" ht="13" thickBot="1">
      <c r="B5" s="9" t="s">
        <v>15</v>
      </c>
      <c r="C5" s="19" t="s">
        <v>14</v>
      </c>
      <c r="D5" s="10"/>
      <c r="E5" s="10"/>
      <c r="F5" s="19" t="s">
        <v>13</v>
      </c>
      <c r="K5" s="128" t="s">
        <v>120</v>
      </c>
      <c r="L5" s="7" t="s">
        <v>6</v>
      </c>
      <c r="M5" s="7" t="s">
        <v>7</v>
      </c>
      <c r="N5" s="7" t="s">
        <v>117</v>
      </c>
      <c r="O5" s="7" t="s">
        <v>118</v>
      </c>
      <c r="P5" s="7" t="s">
        <v>119</v>
      </c>
      <c r="R5" s="128" t="s">
        <v>120</v>
      </c>
      <c r="S5" s="7" t="s">
        <v>6</v>
      </c>
      <c r="T5" s="7" t="s">
        <v>7</v>
      </c>
      <c r="U5" s="7" t="s">
        <v>117</v>
      </c>
      <c r="V5" s="7" t="s">
        <v>118</v>
      </c>
      <c r="W5" s="7" t="s">
        <v>119</v>
      </c>
      <c r="Y5" s="128" t="s">
        <v>120</v>
      </c>
      <c r="Z5" s="7" t="s">
        <v>6</v>
      </c>
      <c r="AA5" s="7" t="s">
        <v>7</v>
      </c>
      <c r="AB5" s="7" t="s">
        <v>117</v>
      </c>
      <c r="AC5" s="7" t="s">
        <v>118</v>
      </c>
      <c r="AD5" s="7" t="s">
        <v>119</v>
      </c>
    </row>
    <row r="6" spans="2:38">
      <c r="B6" s="11" t="s">
        <v>16</v>
      </c>
      <c r="C6" s="21"/>
      <c r="D6" s="155" t="s">
        <v>183</v>
      </c>
      <c r="E6" s="11"/>
      <c r="F6" s="20">
        <f t="shared" ref="F6:F12" si="0">C6</f>
        <v>0</v>
      </c>
      <c r="K6" s="147" t="s">
        <v>146</v>
      </c>
      <c r="L6" s="142"/>
      <c r="M6" s="132"/>
      <c r="N6" s="132"/>
      <c r="O6" s="132"/>
      <c r="P6" s="133"/>
      <c r="R6" s="141" t="str">
        <f>K6</f>
        <v>Brokerage 1</v>
      </c>
      <c r="S6" s="110"/>
      <c r="T6" s="110"/>
      <c r="U6" s="110"/>
      <c r="V6" s="110"/>
      <c r="W6" s="110"/>
      <c r="Y6" s="141" t="str">
        <f>K6</f>
        <v>Brokerage 1</v>
      </c>
      <c r="Z6" s="111"/>
      <c r="AA6" s="112"/>
      <c r="AB6" s="112"/>
      <c r="AC6" s="112"/>
      <c r="AD6" s="112"/>
    </row>
    <row r="7" spans="2:38">
      <c r="B7" s="15" t="s">
        <v>52</v>
      </c>
      <c r="C7" s="21"/>
      <c r="D7" s="155" t="s">
        <v>184</v>
      </c>
      <c r="E7" s="11"/>
      <c r="F7" s="20">
        <f t="shared" si="0"/>
        <v>0</v>
      </c>
      <c r="H7" s="22"/>
      <c r="K7" s="147" t="s">
        <v>147</v>
      </c>
      <c r="L7" s="143"/>
      <c r="M7" s="115"/>
      <c r="N7" s="115"/>
      <c r="O7" s="115"/>
      <c r="P7" s="134"/>
      <c r="R7" s="141" t="str">
        <f t="shared" ref="R7:R15" si="1">K7</f>
        <v>Brokerage 2</v>
      </c>
      <c r="S7" s="126"/>
      <c r="T7" s="126"/>
      <c r="U7" s="126"/>
      <c r="V7" s="126"/>
      <c r="W7" s="126"/>
      <c r="Y7" s="141" t="str">
        <f t="shared" ref="Y7:Y15" si="2">K7</f>
        <v>Brokerage 2</v>
      </c>
      <c r="Z7" s="129"/>
      <c r="AA7" s="130"/>
      <c r="AB7" s="130"/>
      <c r="AC7" s="130"/>
      <c r="AD7" s="130"/>
    </row>
    <row r="8" spans="2:38">
      <c r="B8" s="11" t="s">
        <v>6</v>
      </c>
      <c r="C8" s="20">
        <f>SUM(L6:L19,S6:S19,Z6:Z19)</f>
        <v>0</v>
      </c>
      <c r="D8" s="12"/>
      <c r="E8" s="11"/>
      <c r="F8" s="20">
        <f t="shared" si="0"/>
        <v>0</v>
      </c>
      <c r="H8" s="1"/>
      <c r="K8" s="147" t="s">
        <v>148</v>
      </c>
      <c r="L8" s="144"/>
      <c r="M8" s="110"/>
      <c r="N8" s="110"/>
      <c r="O8" s="110"/>
      <c r="P8" s="135"/>
      <c r="R8" s="141" t="str">
        <f t="shared" si="1"/>
        <v>401K</v>
      </c>
      <c r="S8" s="110"/>
      <c r="T8" s="110"/>
      <c r="U8" s="110"/>
      <c r="V8" s="110"/>
      <c r="W8" s="110"/>
      <c r="Y8" s="141" t="str">
        <f t="shared" si="2"/>
        <v>401K</v>
      </c>
      <c r="Z8" s="113"/>
      <c r="AA8" s="114"/>
      <c r="AB8" s="114"/>
      <c r="AC8" s="114"/>
      <c r="AD8" s="114"/>
    </row>
    <row r="9" spans="2:38">
      <c r="B9" s="11" t="s">
        <v>7</v>
      </c>
      <c r="C9" s="20">
        <f>SUM(T6:T19,M6:M19,AA6:AA19)</f>
        <v>0</v>
      </c>
      <c r="D9" s="12"/>
      <c r="E9" s="11"/>
      <c r="F9" s="20">
        <f t="shared" si="0"/>
        <v>0</v>
      </c>
      <c r="G9" s="120" t="s">
        <v>141</v>
      </c>
      <c r="H9" s="120"/>
      <c r="K9" s="147" t="s">
        <v>149</v>
      </c>
      <c r="L9" s="143"/>
      <c r="M9" s="115"/>
      <c r="N9" s="115"/>
      <c r="O9" s="115"/>
      <c r="P9" s="134"/>
      <c r="R9" s="141" t="str">
        <f t="shared" si="1"/>
        <v>IRA</v>
      </c>
      <c r="S9" s="126"/>
      <c r="T9" s="126"/>
      <c r="U9" s="126"/>
      <c r="V9" s="126"/>
      <c r="W9" s="126"/>
      <c r="Y9" s="141" t="str">
        <f t="shared" si="2"/>
        <v>IRA</v>
      </c>
      <c r="Z9" s="129"/>
      <c r="AA9" s="130"/>
      <c r="AB9" s="130"/>
      <c r="AC9" s="130"/>
      <c r="AD9" s="130"/>
    </row>
    <row r="10" spans="2:38">
      <c r="B10" s="15" t="s">
        <v>37</v>
      </c>
      <c r="C10" s="20">
        <f>SUM(N6:N19,U6:U19,AB6:AB19)</f>
        <v>0</v>
      </c>
      <c r="D10" s="12"/>
      <c r="E10" s="11"/>
      <c r="F10" s="20">
        <f t="shared" si="0"/>
        <v>0</v>
      </c>
      <c r="H10" s="1"/>
      <c r="K10" s="147" t="s">
        <v>150</v>
      </c>
      <c r="L10" s="144"/>
      <c r="M10" s="110"/>
      <c r="N10" s="110"/>
      <c r="O10" s="110"/>
      <c r="P10" s="135"/>
      <c r="R10" s="141" t="str">
        <f t="shared" si="1"/>
        <v>Mutual Fund 1</v>
      </c>
      <c r="S10" s="110"/>
      <c r="T10" s="110"/>
      <c r="U10" s="110"/>
      <c r="V10" s="110"/>
      <c r="W10" s="110"/>
      <c r="Y10" s="141" t="str">
        <f t="shared" si="2"/>
        <v>Mutual Fund 1</v>
      </c>
      <c r="Z10" s="113"/>
      <c r="AA10" s="114"/>
      <c r="AB10" s="114"/>
      <c r="AC10" s="114"/>
      <c r="AD10" s="114"/>
    </row>
    <row r="11" spans="2:38">
      <c r="B11" s="11" t="s">
        <v>17</v>
      </c>
      <c r="C11" s="20">
        <f>SUM(O6:O19,V6:V19,AC6:AC19)</f>
        <v>0</v>
      </c>
      <c r="D11" s="12"/>
      <c r="E11" s="11"/>
      <c r="F11" s="20">
        <f t="shared" si="0"/>
        <v>0</v>
      </c>
      <c r="H11" s="1"/>
      <c r="K11" s="147" t="s">
        <v>151</v>
      </c>
      <c r="L11" s="144"/>
      <c r="M11" s="110"/>
      <c r="N11" s="110"/>
      <c r="O11" s="110"/>
      <c r="P11" s="135"/>
      <c r="R11" s="141" t="str">
        <f t="shared" si="1"/>
        <v>Mut Fund 2</v>
      </c>
      <c r="S11" s="110"/>
      <c r="T11" s="110"/>
      <c r="U11" s="110"/>
      <c r="V11" s="110"/>
      <c r="W11" s="110"/>
      <c r="Y11" s="141" t="str">
        <f t="shared" si="2"/>
        <v>Mut Fund 2</v>
      </c>
      <c r="Z11" s="113"/>
      <c r="AA11" s="114"/>
      <c r="AB11" s="114"/>
      <c r="AC11" s="114"/>
      <c r="AD11" s="114"/>
    </row>
    <row r="12" spans="2:38">
      <c r="B12" s="11" t="s">
        <v>26</v>
      </c>
      <c r="C12" s="20">
        <f>SUM(P6:P19,W6:W19,AD6:AD19)</f>
        <v>0</v>
      </c>
      <c r="D12" s="12"/>
      <c r="E12" s="11"/>
      <c r="F12" s="20">
        <f t="shared" si="0"/>
        <v>0</v>
      </c>
      <c r="K12" s="147" t="s">
        <v>152</v>
      </c>
      <c r="L12" s="143"/>
      <c r="M12" s="110"/>
      <c r="N12" s="115"/>
      <c r="O12" s="115"/>
      <c r="P12" s="134"/>
      <c r="Q12" s="53"/>
      <c r="R12" s="141" t="str">
        <f t="shared" si="1"/>
        <v>Bank 1</v>
      </c>
      <c r="S12" s="126"/>
      <c r="T12" s="110"/>
      <c r="U12" s="126"/>
      <c r="V12" s="126"/>
      <c r="W12" s="126"/>
      <c r="X12" s="53"/>
      <c r="Y12" s="141" t="str">
        <f t="shared" si="2"/>
        <v>Bank 1</v>
      </c>
      <c r="Z12" s="129"/>
      <c r="AA12" s="114"/>
      <c r="AB12" s="130"/>
      <c r="AC12" s="130"/>
      <c r="AD12" s="130"/>
    </row>
    <row r="13" spans="2:38">
      <c r="B13" s="14" t="s">
        <v>8</v>
      </c>
      <c r="C13" s="20">
        <f>SUM(C6:C12)</f>
        <v>0</v>
      </c>
      <c r="D13" s="12"/>
      <c r="E13" s="15"/>
      <c r="F13" s="20">
        <f>SUM(F6:F12)</f>
        <v>0</v>
      </c>
      <c r="K13" s="147" t="s">
        <v>153</v>
      </c>
      <c r="L13" s="143"/>
      <c r="M13" s="110"/>
      <c r="N13" s="115"/>
      <c r="O13" s="115"/>
      <c r="P13" s="134"/>
      <c r="Q13" s="53"/>
      <c r="R13" s="141" t="str">
        <f t="shared" si="1"/>
        <v>Credit Union</v>
      </c>
      <c r="S13" s="126"/>
      <c r="T13" s="110"/>
      <c r="U13" s="126"/>
      <c r="V13" s="126"/>
      <c r="W13" s="126"/>
      <c r="Y13" s="141" t="str">
        <f t="shared" si="2"/>
        <v>Credit Union</v>
      </c>
      <c r="Z13" s="129"/>
      <c r="AA13" s="114"/>
      <c r="AB13" s="130"/>
      <c r="AC13" s="130"/>
      <c r="AD13" s="130"/>
    </row>
    <row r="14" spans="2:38">
      <c r="B14" s="14"/>
      <c r="C14" s="12"/>
      <c r="D14" s="12"/>
      <c r="E14" s="15"/>
      <c r="F14" s="12"/>
      <c r="K14" s="147" t="s">
        <v>154</v>
      </c>
      <c r="L14" s="145"/>
      <c r="M14" s="115"/>
      <c r="N14" s="115"/>
      <c r="O14" s="115"/>
      <c r="P14" s="134"/>
      <c r="R14" s="141" t="str">
        <f t="shared" si="1"/>
        <v>Credit Card</v>
      </c>
      <c r="S14" s="126"/>
      <c r="T14" s="126"/>
      <c r="U14" s="126"/>
      <c r="V14" s="126"/>
      <c r="W14" s="126"/>
      <c r="Y14" s="141" t="str">
        <f t="shared" si="2"/>
        <v>Credit Card</v>
      </c>
      <c r="Z14" s="129"/>
      <c r="AA14" s="130"/>
      <c r="AB14" s="130"/>
      <c r="AC14" s="130"/>
      <c r="AD14" s="130"/>
    </row>
    <row r="15" spans="2:38">
      <c r="B15" s="14" t="s">
        <v>9</v>
      </c>
      <c r="C15" s="21"/>
      <c r="D15" s="12"/>
      <c r="E15" s="15"/>
      <c r="F15" s="20">
        <f>C15</f>
        <v>0</v>
      </c>
      <c r="K15" s="147" t="s">
        <v>155</v>
      </c>
      <c r="L15" s="144"/>
      <c r="M15" s="125"/>
      <c r="N15" s="125"/>
      <c r="O15" s="125"/>
      <c r="P15" s="138"/>
      <c r="R15" s="141" t="str">
        <f t="shared" si="1"/>
        <v>Grants</v>
      </c>
      <c r="S15" s="110"/>
      <c r="T15" s="126"/>
      <c r="U15" s="126"/>
      <c r="V15" s="126"/>
      <c r="W15" s="126"/>
      <c r="Y15" s="141" t="str">
        <f t="shared" si="2"/>
        <v>Grants</v>
      </c>
      <c r="Z15" s="113"/>
      <c r="AA15" s="130"/>
      <c r="AB15" s="130"/>
      <c r="AC15" s="130"/>
      <c r="AD15" s="130"/>
    </row>
    <row r="16" spans="2:38">
      <c r="B16" s="16" t="s">
        <v>11</v>
      </c>
      <c r="C16" s="21"/>
      <c r="D16" s="13"/>
      <c r="E16" s="16"/>
      <c r="F16" s="20">
        <f>C16</f>
        <v>0</v>
      </c>
      <c r="G16" t="s">
        <v>138</v>
      </c>
      <c r="H16" s="121" t="s">
        <v>178</v>
      </c>
      <c r="J16" s="37"/>
      <c r="K16" s="147" t="s">
        <v>156</v>
      </c>
      <c r="L16" s="143"/>
      <c r="M16" s="125"/>
      <c r="N16" s="125"/>
      <c r="O16" s="125"/>
      <c r="P16" s="134"/>
      <c r="R16" s="141" t="str">
        <f t="shared" ref="R16:R18" si="3">K16</f>
        <v>Options</v>
      </c>
      <c r="S16" s="126"/>
      <c r="T16" s="126"/>
      <c r="U16" s="126"/>
      <c r="V16" s="126"/>
      <c r="W16" s="126"/>
      <c r="X16" s="5"/>
      <c r="Y16" s="141" t="str">
        <f t="shared" ref="Y16:Y19" si="4">K16</f>
        <v>Options</v>
      </c>
      <c r="Z16" s="129"/>
      <c r="AA16" s="130"/>
      <c r="AB16" s="130"/>
      <c r="AC16" s="130"/>
      <c r="AD16" s="130"/>
      <c r="AE16" s="5"/>
      <c r="AF16" s="5"/>
      <c r="AG16" s="5"/>
      <c r="AH16" s="5"/>
      <c r="AI16" s="5"/>
      <c r="AJ16" s="5"/>
      <c r="AK16" s="124"/>
      <c r="AL16" s="124"/>
    </row>
    <row r="17" spans="2:37">
      <c r="B17" s="14" t="s">
        <v>8</v>
      </c>
      <c r="C17" s="20">
        <f>SUM(C15:C16)</f>
        <v>0</v>
      </c>
      <c r="D17" s="12"/>
      <c r="E17" s="15"/>
      <c r="F17" s="20">
        <f>SUM(F15:F16)</f>
        <v>0</v>
      </c>
      <c r="K17" s="147"/>
      <c r="L17" s="145"/>
      <c r="M17" s="125"/>
      <c r="N17" s="115"/>
      <c r="O17" s="115"/>
      <c r="P17" s="134"/>
      <c r="R17" s="141">
        <f t="shared" si="3"/>
        <v>0</v>
      </c>
      <c r="S17" s="126"/>
      <c r="T17" s="126"/>
      <c r="U17" s="126"/>
      <c r="V17" s="126"/>
      <c r="W17" s="126"/>
      <c r="X17" s="5"/>
      <c r="Y17" s="141">
        <f t="shared" si="4"/>
        <v>0</v>
      </c>
      <c r="Z17" s="129"/>
      <c r="AA17" s="130"/>
      <c r="AB17" s="130"/>
      <c r="AC17" s="130"/>
      <c r="AD17" s="130"/>
      <c r="AE17" s="5"/>
      <c r="AF17" s="5"/>
      <c r="AG17" s="5"/>
      <c r="AH17" s="5"/>
      <c r="AI17" s="5"/>
      <c r="AJ17" s="5"/>
      <c r="AK17" s="124"/>
    </row>
    <row r="18" spans="2:37">
      <c r="B18" s="17"/>
      <c r="C18" s="12"/>
      <c r="D18" s="12"/>
      <c r="E18" s="15"/>
      <c r="F18" s="12"/>
      <c r="K18" s="147"/>
      <c r="L18" s="143"/>
      <c r="M18" s="125"/>
      <c r="N18" s="125"/>
      <c r="O18" s="125"/>
      <c r="P18" s="134"/>
      <c r="R18" s="141">
        <f t="shared" si="3"/>
        <v>0</v>
      </c>
      <c r="S18" s="126"/>
      <c r="T18" s="126"/>
      <c r="U18" s="126"/>
      <c r="V18" s="126"/>
      <c r="W18" s="126"/>
      <c r="X18" s="5"/>
      <c r="Y18" s="141">
        <f t="shared" si="4"/>
        <v>0</v>
      </c>
      <c r="Z18" s="129"/>
      <c r="AA18" s="130"/>
      <c r="AB18" s="130"/>
      <c r="AC18" s="130"/>
      <c r="AD18" s="130"/>
      <c r="AE18" s="5"/>
      <c r="AF18" s="5"/>
      <c r="AG18" s="5"/>
      <c r="AH18" s="5"/>
      <c r="AI18" s="5"/>
      <c r="AJ18" s="5"/>
    </row>
    <row r="19" spans="2:37" ht="13" thickBot="1">
      <c r="B19" s="14" t="s">
        <v>10</v>
      </c>
      <c r="C19" s="21"/>
      <c r="D19" s="12"/>
      <c r="E19" s="15"/>
      <c r="F19" s="20">
        <f>C19</f>
        <v>0</v>
      </c>
      <c r="H19" s="22"/>
      <c r="K19" s="147"/>
      <c r="L19" s="146"/>
      <c r="M19" s="136"/>
      <c r="N19" s="136"/>
      <c r="O19" s="136"/>
      <c r="P19" s="137"/>
      <c r="R19" s="141">
        <f>K19</f>
        <v>0</v>
      </c>
      <c r="S19" s="126"/>
      <c r="T19" s="126"/>
      <c r="U19" s="126"/>
      <c r="V19" s="126"/>
      <c r="W19" s="126"/>
      <c r="Y19" s="141">
        <f t="shared" si="4"/>
        <v>0</v>
      </c>
      <c r="Z19" s="129"/>
      <c r="AA19" s="130"/>
      <c r="AB19" s="130"/>
      <c r="AC19" s="130"/>
      <c r="AD19" s="130"/>
    </row>
    <row r="20" spans="2:37">
      <c r="B20" s="18" t="s">
        <v>12</v>
      </c>
      <c r="C20" s="21"/>
      <c r="D20" s="13"/>
      <c r="E20" s="16"/>
      <c r="F20" s="20">
        <f>C20</f>
        <v>0</v>
      </c>
      <c r="G20" t="s">
        <v>138</v>
      </c>
      <c r="H20" s="123"/>
      <c r="J20" s="36"/>
      <c r="K20" s="140" t="s">
        <v>140</v>
      </c>
      <c r="R20" s="139"/>
      <c r="Y20" s="139"/>
    </row>
    <row r="21" spans="2:37">
      <c r="B21" s="14" t="s">
        <v>8</v>
      </c>
      <c r="C21" s="20">
        <f>SUM(C19:C20)</f>
        <v>0</v>
      </c>
      <c r="D21" s="11"/>
      <c r="E21" s="15"/>
      <c r="F21" s="20">
        <f>SUM(F19:F20)</f>
        <v>0</v>
      </c>
      <c r="K21" s="140" t="s">
        <v>144</v>
      </c>
      <c r="R21" s="139"/>
      <c r="Y21" s="139"/>
    </row>
    <row r="22" spans="2:37">
      <c r="B22" s="3"/>
      <c r="C22" s="4"/>
      <c r="D22" s="5"/>
      <c r="E22" s="6"/>
      <c r="F22" s="4"/>
      <c r="K22" s="139"/>
      <c r="R22" s="139"/>
      <c r="Y22" s="139"/>
    </row>
    <row r="23" spans="2:37">
      <c r="B23" s="8" t="s">
        <v>175</v>
      </c>
      <c r="F23" s="7" t="s">
        <v>180</v>
      </c>
      <c r="K23" s="128" t="s">
        <v>125</v>
      </c>
      <c r="R23" s="128" t="s">
        <v>126</v>
      </c>
      <c r="Y23" s="139"/>
    </row>
    <row r="24" spans="2:37">
      <c r="B24" s="9" t="s">
        <v>15</v>
      </c>
      <c r="C24" s="19" t="s">
        <v>14</v>
      </c>
      <c r="D24" s="10"/>
      <c r="E24" s="10"/>
      <c r="F24" s="19" t="s">
        <v>13</v>
      </c>
      <c r="K24" s="128" t="s">
        <v>120</v>
      </c>
      <c r="L24" s="7" t="s">
        <v>6</v>
      </c>
      <c r="M24" s="7" t="s">
        <v>7</v>
      </c>
      <c r="N24" s="7" t="s">
        <v>117</v>
      </c>
      <c r="O24" s="7" t="s">
        <v>118</v>
      </c>
      <c r="P24" s="7" t="s">
        <v>119</v>
      </c>
      <c r="R24" s="128" t="s">
        <v>120</v>
      </c>
      <c r="S24" s="7" t="s">
        <v>6</v>
      </c>
      <c r="T24" s="7" t="s">
        <v>7</v>
      </c>
      <c r="U24" s="7" t="s">
        <v>117</v>
      </c>
      <c r="V24" s="7" t="s">
        <v>118</v>
      </c>
      <c r="W24" s="7" t="s">
        <v>119</v>
      </c>
      <c r="Y24" s="139"/>
    </row>
    <row r="25" spans="2:37">
      <c r="B25" s="11" t="s">
        <v>16</v>
      </c>
      <c r="C25" s="21"/>
      <c r="D25" s="12"/>
      <c r="E25" s="11"/>
      <c r="F25" s="20">
        <f t="shared" ref="F25:F31" si="5">C6+C25</f>
        <v>0</v>
      </c>
      <c r="K25" s="141" t="str">
        <f>K6</f>
        <v>Brokerage 1</v>
      </c>
      <c r="L25" s="111"/>
      <c r="M25" s="112"/>
      <c r="N25" s="112"/>
      <c r="O25" s="112"/>
      <c r="P25" s="112"/>
      <c r="R25" s="141" t="str">
        <f>K6</f>
        <v>Brokerage 1</v>
      </c>
      <c r="S25" s="111"/>
      <c r="T25" s="112"/>
      <c r="U25" s="112"/>
      <c r="V25" s="112"/>
      <c r="W25" s="112"/>
      <c r="Y25" s="139"/>
    </row>
    <row r="26" spans="2:37">
      <c r="B26" s="15" t="s">
        <v>52</v>
      </c>
      <c r="C26" s="21"/>
      <c r="D26" s="12"/>
      <c r="E26" s="11"/>
      <c r="F26" s="20">
        <f t="shared" si="5"/>
        <v>0</v>
      </c>
      <c r="K26" s="141" t="str">
        <f t="shared" ref="K26:K33" si="6">K7</f>
        <v>Brokerage 2</v>
      </c>
      <c r="L26" s="129"/>
      <c r="M26" s="130"/>
      <c r="N26" s="130"/>
      <c r="O26" s="130"/>
      <c r="P26" s="130"/>
      <c r="R26" s="141" t="str">
        <f t="shared" ref="R26:R33" si="7">K7</f>
        <v>Brokerage 2</v>
      </c>
      <c r="S26" s="129"/>
      <c r="T26" s="130"/>
      <c r="U26" s="130"/>
      <c r="V26" s="130"/>
      <c r="W26" s="130"/>
      <c r="Y26" s="139"/>
    </row>
    <row r="27" spans="2:37">
      <c r="B27" s="11" t="s">
        <v>6</v>
      </c>
      <c r="C27" s="20">
        <f>SUM(L25:L38,S25:S38)</f>
        <v>0</v>
      </c>
      <c r="D27" s="12"/>
      <c r="E27" s="11"/>
      <c r="F27" s="20">
        <f t="shared" si="5"/>
        <v>0</v>
      </c>
      <c r="H27" s="1"/>
      <c r="K27" s="141" t="str">
        <f t="shared" si="6"/>
        <v>401K</v>
      </c>
      <c r="L27" s="113"/>
      <c r="M27" s="114"/>
      <c r="N27" s="114"/>
      <c r="O27" s="114"/>
      <c r="P27" s="114"/>
      <c r="R27" s="141" t="str">
        <f t="shared" si="7"/>
        <v>401K</v>
      </c>
      <c r="S27" s="113"/>
      <c r="T27" s="114"/>
      <c r="U27" s="114"/>
      <c r="V27" s="114"/>
      <c r="W27" s="114"/>
      <c r="Y27" s="139"/>
    </row>
    <row r="28" spans="2:37">
      <c r="B28" s="11" t="s">
        <v>7</v>
      </c>
      <c r="C28" s="20">
        <f>SUM(M25:M38,T25:T38)</f>
        <v>0</v>
      </c>
      <c r="D28" s="12"/>
      <c r="E28" s="11"/>
      <c r="F28" s="20">
        <f t="shared" si="5"/>
        <v>0</v>
      </c>
      <c r="H28" s="22"/>
      <c r="K28" s="141" t="str">
        <f t="shared" si="6"/>
        <v>IRA</v>
      </c>
      <c r="L28" s="129"/>
      <c r="M28" s="130"/>
      <c r="N28" s="130"/>
      <c r="O28" s="130"/>
      <c r="P28" s="130"/>
      <c r="R28" s="141" t="str">
        <f t="shared" si="7"/>
        <v>IRA</v>
      </c>
      <c r="S28" s="129"/>
      <c r="T28" s="130"/>
      <c r="U28" s="130"/>
      <c r="V28" s="130"/>
      <c r="W28" s="130"/>
      <c r="Y28" s="139"/>
    </row>
    <row r="29" spans="2:37">
      <c r="B29" s="11" t="s">
        <v>37</v>
      </c>
      <c r="C29" s="20">
        <f>SUM(N25:N38,U25:U38)</f>
        <v>0</v>
      </c>
      <c r="D29" s="12"/>
      <c r="E29" s="11"/>
      <c r="F29" s="20">
        <f t="shared" si="5"/>
        <v>0</v>
      </c>
      <c r="H29" s="22"/>
      <c r="K29" s="141" t="str">
        <f t="shared" si="6"/>
        <v>Mutual Fund 1</v>
      </c>
      <c r="L29" s="113"/>
      <c r="M29" s="114"/>
      <c r="N29" s="114"/>
      <c r="O29" s="114"/>
      <c r="P29" s="114"/>
      <c r="R29" s="141" t="str">
        <f t="shared" si="7"/>
        <v>Mutual Fund 1</v>
      </c>
      <c r="S29" s="113"/>
      <c r="T29" s="114"/>
      <c r="U29" s="114"/>
      <c r="V29" s="114"/>
      <c r="W29" s="114"/>
      <c r="Y29" s="139"/>
    </row>
    <row r="30" spans="2:37">
      <c r="B30" s="11" t="s">
        <v>17</v>
      </c>
      <c r="C30" s="20">
        <f>SUM(O25:O38,V25:V38)</f>
        <v>0</v>
      </c>
      <c r="D30" s="12"/>
      <c r="E30" s="11"/>
      <c r="F30" s="20">
        <f t="shared" si="5"/>
        <v>0</v>
      </c>
      <c r="H30" s="1"/>
      <c r="K30" s="141" t="str">
        <f t="shared" si="6"/>
        <v>Mut Fund 2</v>
      </c>
      <c r="L30" s="113"/>
      <c r="M30" s="114"/>
      <c r="N30" s="114"/>
      <c r="O30" s="114"/>
      <c r="P30" s="114"/>
      <c r="R30" s="141" t="str">
        <f t="shared" si="7"/>
        <v>Mut Fund 2</v>
      </c>
      <c r="S30" s="113"/>
      <c r="T30" s="114"/>
      <c r="U30" s="114"/>
      <c r="V30" s="114"/>
      <c r="W30" s="114"/>
      <c r="Y30" s="139"/>
    </row>
    <row r="31" spans="2:37">
      <c r="B31" s="11" t="s">
        <v>26</v>
      </c>
      <c r="C31" s="20">
        <f>SUM(P25:P38,W25:W38)</f>
        <v>0</v>
      </c>
      <c r="D31" s="12"/>
      <c r="E31" s="11"/>
      <c r="F31" s="20">
        <f t="shared" si="5"/>
        <v>0</v>
      </c>
      <c r="K31" s="141" t="str">
        <f t="shared" si="6"/>
        <v>Bank 1</v>
      </c>
      <c r="L31" s="129"/>
      <c r="M31" s="114"/>
      <c r="N31" s="130"/>
      <c r="O31" s="130"/>
      <c r="P31" s="130"/>
      <c r="Q31" s="53"/>
      <c r="R31" s="141" t="str">
        <f t="shared" si="7"/>
        <v>Bank 1</v>
      </c>
      <c r="S31" s="129"/>
      <c r="T31" s="114"/>
      <c r="U31" s="130"/>
      <c r="V31" s="130"/>
      <c r="W31" s="130"/>
      <c r="Y31" s="139"/>
    </row>
    <row r="32" spans="2:37">
      <c r="B32" s="14" t="s">
        <v>8</v>
      </c>
      <c r="C32" s="20">
        <f>SUM(C25:C31)</f>
        <v>0</v>
      </c>
      <c r="D32" s="12"/>
      <c r="E32" s="15"/>
      <c r="F32" s="20">
        <f>SUM(F25:F31)</f>
        <v>0</v>
      </c>
      <c r="K32" s="141" t="str">
        <f t="shared" si="6"/>
        <v>Credit Union</v>
      </c>
      <c r="L32" s="129"/>
      <c r="M32" s="114"/>
      <c r="N32" s="130"/>
      <c r="O32" s="130"/>
      <c r="P32" s="130"/>
      <c r="Q32" s="53"/>
      <c r="R32" s="141" t="str">
        <f t="shared" si="7"/>
        <v>Credit Union</v>
      </c>
      <c r="S32" s="129"/>
      <c r="T32" s="114"/>
      <c r="U32" s="130"/>
      <c r="V32" s="130"/>
      <c r="W32" s="130"/>
      <c r="Y32" s="139"/>
    </row>
    <row r="33" spans="2:30">
      <c r="B33" s="14"/>
      <c r="C33" s="12"/>
      <c r="D33" s="12"/>
      <c r="E33" s="15"/>
      <c r="F33" s="12"/>
      <c r="K33" s="141" t="str">
        <f t="shared" si="6"/>
        <v>Credit Card</v>
      </c>
      <c r="L33" s="129"/>
      <c r="M33" s="130"/>
      <c r="N33" s="130"/>
      <c r="O33" s="130"/>
      <c r="P33" s="130"/>
      <c r="R33" s="141" t="str">
        <f t="shared" si="7"/>
        <v>Credit Card</v>
      </c>
      <c r="S33" s="129"/>
      <c r="T33" s="130"/>
      <c r="U33" s="130"/>
      <c r="V33" s="130"/>
      <c r="W33" s="130"/>
      <c r="Y33" s="139"/>
    </row>
    <row r="34" spans="2:30">
      <c r="B34" s="14" t="s">
        <v>9</v>
      </c>
      <c r="C34" s="21"/>
      <c r="D34" s="12"/>
      <c r="E34" s="15"/>
      <c r="F34" s="20">
        <f>(C34+F15)</f>
        <v>0</v>
      </c>
      <c r="K34" s="141" t="str">
        <f>K15</f>
        <v>Grants</v>
      </c>
      <c r="L34" s="113"/>
      <c r="M34" s="130"/>
      <c r="N34" s="130"/>
      <c r="O34" s="130"/>
      <c r="P34" s="130"/>
      <c r="R34" s="141" t="str">
        <f>K15</f>
        <v>Grants</v>
      </c>
      <c r="S34" s="113"/>
      <c r="T34" s="130"/>
      <c r="U34" s="130"/>
      <c r="V34" s="130"/>
      <c r="W34" s="130"/>
      <c r="Y34" s="139"/>
    </row>
    <row r="35" spans="2:30">
      <c r="B35" s="16" t="s">
        <v>11</v>
      </c>
      <c r="C35" s="21"/>
      <c r="D35" s="13"/>
      <c r="E35" s="16"/>
      <c r="F35" s="20">
        <f>C35+F16</f>
        <v>0</v>
      </c>
      <c r="G35" t="s">
        <v>138</v>
      </c>
      <c r="H35" s="121"/>
      <c r="J35" s="37"/>
      <c r="K35" s="141" t="str">
        <f t="shared" ref="K35:K38" si="8">K16</f>
        <v>Options</v>
      </c>
      <c r="L35" s="129"/>
      <c r="M35" s="130"/>
      <c r="N35" s="130"/>
      <c r="O35" s="130"/>
      <c r="P35" s="130"/>
      <c r="R35" s="141" t="str">
        <f t="shared" ref="R35:R38" si="9">K16</f>
        <v>Options</v>
      </c>
      <c r="S35" s="129"/>
      <c r="T35" s="130"/>
      <c r="U35" s="130"/>
      <c r="V35" s="130"/>
      <c r="W35" s="130"/>
      <c r="Y35" s="139"/>
    </row>
    <row r="36" spans="2:30">
      <c r="B36" s="14" t="s">
        <v>8</v>
      </c>
      <c r="C36" s="20">
        <f>SUM(C34:C35)</f>
        <v>0</v>
      </c>
      <c r="D36" s="12"/>
      <c r="E36" s="15"/>
      <c r="F36" s="20">
        <f>SUM(F34:F35)</f>
        <v>0</v>
      </c>
      <c r="K36" s="141">
        <f t="shared" si="8"/>
        <v>0</v>
      </c>
      <c r="L36" s="129"/>
      <c r="M36" s="130"/>
      <c r="N36" s="130"/>
      <c r="O36" s="130"/>
      <c r="P36" s="130"/>
      <c r="R36" s="141">
        <f t="shared" si="9"/>
        <v>0</v>
      </c>
      <c r="S36" s="129"/>
      <c r="T36" s="130"/>
      <c r="U36" s="130"/>
      <c r="V36" s="130"/>
      <c r="W36" s="130"/>
      <c r="Y36" s="139"/>
    </row>
    <row r="37" spans="2:30">
      <c r="B37" s="17"/>
      <c r="C37" s="12"/>
      <c r="D37" s="12"/>
      <c r="E37" s="15"/>
      <c r="F37" s="12"/>
      <c r="K37" s="141">
        <f t="shared" si="8"/>
        <v>0</v>
      </c>
      <c r="L37" s="129"/>
      <c r="M37" s="130"/>
      <c r="N37" s="130"/>
      <c r="O37" s="130"/>
      <c r="P37" s="130"/>
      <c r="R37" s="141">
        <f t="shared" si="9"/>
        <v>0</v>
      </c>
      <c r="S37" s="129"/>
      <c r="T37" s="130"/>
      <c r="U37" s="130"/>
      <c r="V37" s="130"/>
      <c r="W37" s="130"/>
      <c r="Y37" s="139"/>
    </row>
    <row r="38" spans="2:30">
      <c r="B38" s="14" t="s">
        <v>10</v>
      </c>
      <c r="C38" s="21"/>
      <c r="D38" s="12"/>
      <c r="E38" s="15"/>
      <c r="F38" s="20">
        <f>C38+F19</f>
        <v>0</v>
      </c>
      <c r="K38" s="141">
        <f t="shared" si="8"/>
        <v>0</v>
      </c>
      <c r="L38" s="129"/>
      <c r="M38" s="130"/>
      <c r="N38" s="130"/>
      <c r="O38" s="130"/>
      <c r="P38" s="130"/>
      <c r="R38" s="141">
        <f t="shared" si="9"/>
        <v>0</v>
      </c>
      <c r="S38" s="129"/>
      <c r="T38" s="130"/>
      <c r="U38" s="130"/>
      <c r="V38" s="130"/>
      <c r="W38" s="130"/>
      <c r="Y38" s="139"/>
    </row>
    <row r="39" spans="2:30">
      <c r="B39" s="18" t="s">
        <v>12</v>
      </c>
      <c r="C39" s="21"/>
      <c r="D39" s="13"/>
      <c r="E39" s="16"/>
      <c r="F39" s="20">
        <f>C39+F20</f>
        <v>0</v>
      </c>
      <c r="G39" t="s">
        <v>138</v>
      </c>
      <c r="H39" s="121"/>
      <c r="J39" s="36"/>
      <c r="K39" s="139"/>
      <c r="R39" s="139"/>
      <c r="Y39" s="139"/>
    </row>
    <row r="40" spans="2:30">
      <c r="B40" s="14" t="s">
        <v>8</v>
      </c>
      <c r="C40" s="20">
        <f>SUM(C38:C39)</f>
        <v>0</v>
      </c>
      <c r="D40" s="11"/>
      <c r="E40" s="15"/>
      <c r="F40" s="20">
        <f>SUM(F38:F39)</f>
        <v>0</v>
      </c>
      <c r="K40" s="139"/>
      <c r="R40" s="139"/>
      <c r="Y40" s="139"/>
    </row>
    <row r="41" spans="2:30">
      <c r="B41" s="3"/>
      <c r="C41" s="4"/>
      <c r="D41" s="5"/>
      <c r="E41" s="6"/>
      <c r="F41" s="4"/>
      <c r="K41" s="139"/>
      <c r="R41" s="139"/>
      <c r="Y41" s="139"/>
    </row>
    <row r="42" spans="2:30">
      <c r="B42" s="8" t="s">
        <v>176</v>
      </c>
      <c r="F42" s="7" t="s">
        <v>181</v>
      </c>
      <c r="K42" s="128" t="s">
        <v>128</v>
      </c>
      <c r="R42" s="128" t="s">
        <v>129</v>
      </c>
      <c r="Y42" s="128" t="s">
        <v>130</v>
      </c>
    </row>
    <row r="43" spans="2:30">
      <c r="B43" s="9" t="s">
        <v>15</v>
      </c>
      <c r="C43" s="19" t="s">
        <v>14</v>
      </c>
      <c r="D43" s="10"/>
      <c r="E43" s="10"/>
      <c r="F43" s="19" t="s">
        <v>13</v>
      </c>
      <c r="K43" s="128" t="s">
        <v>120</v>
      </c>
      <c r="L43" s="7" t="s">
        <v>6</v>
      </c>
      <c r="M43" s="7" t="s">
        <v>7</v>
      </c>
      <c r="N43" s="7" t="s">
        <v>117</v>
      </c>
      <c r="O43" s="7" t="s">
        <v>118</v>
      </c>
      <c r="P43" s="7" t="s">
        <v>119</v>
      </c>
      <c r="R43" s="128" t="s">
        <v>120</v>
      </c>
      <c r="S43" s="7" t="s">
        <v>6</v>
      </c>
      <c r="T43" s="7" t="s">
        <v>7</v>
      </c>
      <c r="U43" s="7" t="s">
        <v>117</v>
      </c>
      <c r="V43" s="7" t="s">
        <v>118</v>
      </c>
      <c r="W43" s="7" t="s">
        <v>119</v>
      </c>
      <c r="Y43" s="128" t="s">
        <v>120</v>
      </c>
      <c r="Z43" s="7" t="s">
        <v>6</v>
      </c>
      <c r="AA43" s="7" t="s">
        <v>7</v>
      </c>
      <c r="AB43" s="7" t="s">
        <v>117</v>
      </c>
      <c r="AC43" s="7" t="s">
        <v>118</v>
      </c>
      <c r="AD43" s="7" t="s">
        <v>119</v>
      </c>
    </row>
    <row r="44" spans="2:30">
      <c r="B44" s="11" t="s">
        <v>16</v>
      </c>
      <c r="C44" s="21"/>
      <c r="D44" s="12"/>
      <c r="E44" s="11"/>
      <c r="F44" s="20">
        <f t="shared" ref="F44:F50" si="10">SUM(C6+C25+C44)</f>
        <v>0</v>
      </c>
      <c r="K44" s="141" t="str">
        <f>K6</f>
        <v>Brokerage 1</v>
      </c>
      <c r="L44" s="111"/>
      <c r="M44" s="112"/>
      <c r="N44" s="112"/>
      <c r="O44" s="112"/>
      <c r="P44" s="112"/>
      <c r="R44" s="141" t="str">
        <f>K6</f>
        <v>Brokerage 1</v>
      </c>
      <c r="S44" s="111"/>
      <c r="T44" s="112"/>
      <c r="U44" s="112"/>
      <c r="V44" s="112"/>
      <c r="W44" s="112"/>
      <c r="Y44" s="141" t="str">
        <f>K6</f>
        <v>Brokerage 1</v>
      </c>
      <c r="Z44" s="111"/>
      <c r="AA44" s="112"/>
      <c r="AB44" s="112"/>
      <c r="AC44" s="112"/>
      <c r="AD44" s="112"/>
    </row>
    <row r="45" spans="2:30">
      <c r="B45" s="15" t="s">
        <v>52</v>
      </c>
      <c r="C45" s="21"/>
      <c r="D45" s="12"/>
      <c r="E45" s="11"/>
      <c r="F45" s="20">
        <f t="shared" si="10"/>
        <v>0</v>
      </c>
      <c r="H45" s="22"/>
      <c r="K45" s="141" t="str">
        <f t="shared" ref="K45:K52" si="11">K7</f>
        <v>Brokerage 2</v>
      </c>
      <c r="L45" s="129"/>
      <c r="M45" s="130"/>
      <c r="N45" s="130"/>
      <c r="O45" s="130"/>
      <c r="P45" s="130"/>
      <c r="R45" s="141" t="str">
        <f t="shared" ref="R45:R53" si="12">K7</f>
        <v>Brokerage 2</v>
      </c>
      <c r="S45" s="129"/>
      <c r="T45" s="129"/>
      <c r="U45" s="129"/>
      <c r="V45" s="129"/>
      <c r="W45" s="129"/>
      <c r="Y45" s="141" t="str">
        <f t="shared" ref="Y45:Y53" si="13">K7</f>
        <v>Brokerage 2</v>
      </c>
      <c r="Z45" s="129"/>
      <c r="AA45" s="130"/>
      <c r="AB45" s="130"/>
      <c r="AC45" s="130"/>
      <c r="AD45" s="130"/>
    </row>
    <row r="46" spans="2:30">
      <c r="B46" s="11" t="s">
        <v>6</v>
      </c>
      <c r="C46" s="20">
        <f>SUM(L44:L57,S44:S57,Z44:Z57)</f>
        <v>0</v>
      </c>
      <c r="D46" s="12"/>
      <c r="E46" s="11"/>
      <c r="F46" s="20">
        <f t="shared" si="10"/>
        <v>0</v>
      </c>
      <c r="H46" s="1"/>
      <c r="K46" s="141" t="str">
        <f t="shared" si="11"/>
        <v>401K</v>
      </c>
      <c r="L46" s="113"/>
      <c r="M46" s="114"/>
      <c r="N46" s="114"/>
      <c r="O46" s="114"/>
      <c r="P46" s="114"/>
      <c r="R46" s="141" t="str">
        <f t="shared" si="12"/>
        <v>401K</v>
      </c>
      <c r="S46" s="113"/>
      <c r="T46" s="114"/>
      <c r="U46" s="114"/>
      <c r="V46" s="114"/>
      <c r="W46" s="114"/>
      <c r="Y46" s="141" t="str">
        <f t="shared" si="13"/>
        <v>401K</v>
      </c>
      <c r="Z46" s="113"/>
      <c r="AA46" s="114"/>
      <c r="AB46" s="114"/>
      <c r="AC46" s="114"/>
      <c r="AD46" s="114"/>
    </row>
    <row r="47" spans="2:30">
      <c r="B47" s="11" t="s">
        <v>7</v>
      </c>
      <c r="C47" s="20">
        <f>SUM(M44:M57,T44:T57,AA44:AA57)</f>
        <v>0</v>
      </c>
      <c r="D47" s="12"/>
      <c r="E47" s="11"/>
      <c r="F47" s="20">
        <f t="shared" si="10"/>
        <v>0</v>
      </c>
      <c r="H47" s="1"/>
      <c r="K47" s="141" t="str">
        <f t="shared" si="11"/>
        <v>IRA</v>
      </c>
      <c r="L47" s="129"/>
      <c r="M47" s="130"/>
      <c r="N47" s="130"/>
      <c r="O47" s="130"/>
      <c r="P47" s="130"/>
      <c r="R47" s="141" t="str">
        <f t="shared" si="12"/>
        <v>IRA</v>
      </c>
      <c r="S47" s="129"/>
      <c r="T47" s="130"/>
      <c r="U47" s="130"/>
      <c r="V47" s="130"/>
      <c r="W47" s="130"/>
      <c r="X47" s="53"/>
      <c r="Y47" s="141" t="str">
        <f t="shared" si="13"/>
        <v>IRA</v>
      </c>
      <c r="Z47" s="129"/>
      <c r="AA47" s="130"/>
      <c r="AB47" s="130"/>
      <c r="AC47" s="130"/>
      <c r="AD47" s="130"/>
    </row>
    <row r="48" spans="2:30">
      <c r="B48" s="11" t="s">
        <v>37</v>
      </c>
      <c r="C48" s="20">
        <f>SUM(N44:N57,U44:U57,AB44:AB57)</f>
        <v>0</v>
      </c>
      <c r="D48" s="12"/>
      <c r="E48" s="11"/>
      <c r="F48" s="20">
        <f t="shared" si="10"/>
        <v>0</v>
      </c>
      <c r="K48" s="141" t="str">
        <f t="shared" si="11"/>
        <v>Mutual Fund 1</v>
      </c>
      <c r="L48" s="113"/>
      <c r="M48" s="114"/>
      <c r="N48" s="114"/>
      <c r="O48" s="114"/>
      <c r="P48" s="114"/>
      <c r="R48" s="141" t="str">
        <f t="shared" si="12"/>
        <v>Mutual Fund 1</v>
      </c>
      <c r="S48" s="113"/>
      <c r="T48" s="114"/>
      <c r="U48" s="114"/>
      <c r="V48" s="114"/>
      <c r="W48" s="114"/>
      <c r="Y48" s="141" t="str">
        <f t="shared" si="13"/>
        <v>Mutual Fund 1</v>
      </c>
      <c r="Z48" s="113"/>
      <c r="AA48" s="114"/>
      <c r="AB48" s="114"/>
      <c r="AC48" s="114"/>
      <c r="AD48" s="114"/>
    </row>
    <row r="49" spans="2:37">
      <c r="B49" s="11" t="s">
        <v>17</v>
      </c>
      <c r="C49" s="20">
        <f>SUM(O44:O57,V44:V57,AC44:AC57)</f>
        <v>0</v>
      </c>
      <c r="D49" s="12"/>
      <c r="E49" s="11"/>
      <c r="F49" s="20">
        <f t="shared" si="10"/>
        <v>0</v>
      </c>
      <c r="K49" s="141" t="str">
        <f t="shared" si="11"/>
        <v>Mut Fund 2</v>
      </c>
      <c r="L49" s="113"/>
      <c r="M49" s="114"/>
      <c r="N49" s="114"/>
      <c r="O49" s="114"/>
      <c r="P49" s="114"/>
      <c r="R49" s="141" t="str">
        <f t="shared" si="12"/>
        <v>Mut Fund 2</v>
      </c>
      <c r="S49" s="113"/>
      <c r="T49" s="114"/>
      <c r="U49" s="114"/>
      <c r="V49" s="114"/>
      <c r="W49" s="114"/>
      <c r="Y49" s="141" t="str">
        <f t="shared" si="13"/>
        <v>Mut Fund 2</v>
      </c>
      <c r="Z49" s="113"/>
      <c r="AA49" s="114"/>
      <c r="AB49" s="114"/>
      <c r="AC49" s="114"/>
      <c r="AD49" s="114"/>
    </row>
    <row r="50" spans="2:37">
      <c r="B50" s="11" t="s">
        <v>26</v>
      </c>
      <c r="C50" s="20">
        <f>SUM(P44:P57,W44:W57,AD44:AD57)</f>
        <v>0</v>
      </c>
      <c r="D50" s="12"/>
      <c r="E50" s="11"/>
      <c r="F50" s="20">
        <f t="shared" si="10"/>
        <v>0</v>
      </c>
      <c r="K50" s="141" t="str">
        <f t="shared" si="11"/>
        <v>Bank 1</v>
      </c>
      <c r="L50" s="129"/>
      <c r="M50" s="114"/>
      <c r="N50" s="130"/>
      <c r="O50" s="130"/>
      <c r="P50" s="130"/>
      <c r="Q50" s="53"/>
      <c r="R50" s="141" t="str">
        <f t="shared" si="12"/>
        <v>Bank 1</v>
      </c>
      <c r="S50" s="129"/>
      <c r="T50" s="114"/>
      <c r="U50" s="130"/>
      <c r="V50" s="130"/>
      <c r="W50" s="130"/>
      <c r="X50" s="53"/>
      <c r="Y50" s="141" t="str">
        <f t="shared" si="13"/>
        <v>Bank 1</v>
      </c>
      <c r="Z50" s="129"/>
      <c r="AA50" s="114"/>
      <c r="AB50" s="130"/>
      <c r="AC50" s="130"/>
      <c r="AD50" s="130"/>
    </row>
    <row r="51" spans="2:37">
      <c r="B51" s="14" t="s">
        <v>8</v>
      </c>
      <c r="C51" s="20">
        <f>SUM(C44:C50)</f>
        <v>0</v>
      </c>
      <c r="D51" s="12"/>
      <c r="E51" s="15"/>
      <c r="F51" s="20">
        <f>SUM(F44:F50)</f>
        <v>0</v>
      </c>
      <c r="K51" s="141" t="str">
        <f t="shared" si="11"/>
        <v>Credit Union</v>
      </c>
      <c r="L51" s="129"/>
      <c r="M51" s="114"/>
      <c r="N51" s="130"/>
      <c r="O51" s="130"/>
      <c r="P51" s="130"/>
      <c r="Q51" s="53"/>
      <c r="R51" s="141" t="str">
        <f t="shared" si="12"/>
        <v>Credit Union</v>
      </c>
      <c r="S51" s="129"/>
      <c r="T51" s="114"/>
      <c r="U51" s="130"/>
      <c r="V51" s="130"/>
      <c r="W51" s="130"/>
      <c r="X51" s="53"/>
      <c r="Y51" s="141" t="str">
        <f t="shared" si="13"/>
        <v>Credit Union</v>
      </c>
      <c r="Z51" s="129"/>
      <c r="AA51" s="114"/>
      <c r="AB51" s="130"/>
      <c r="AC51" s="130"/>
      <c r="AD51" s="130"/>
    </row>
    <row r="52" spans="2:37">
      <c r="B52" s="14"/>
      <c r="C52" s="12"/>
      <c r="D52" s="12"/>
      <c r="E52" s="15"/>
      <c r="F52" s="12"/>
      <c r="K52" s="141" t="str">
        <f t="shared" si="11"/>
        <v>Credit Card</v>
      </c>
      <c r="L52" s="129"/>
      <c r="M52" s="130"/>
      <c r="N52" s="130"/>
      <c r="O52" s="130"/>
      <c r="P52" s="130"/>
      <c r="R52" s="141" t="str">
        <f t="shared" si="12"/>
        <v>Credit Card</v>
      </c>
      <c r="S52" s="129"/>
      <c r="T52" s="130"/>
      <c r="U52" s="130"/>
      <c r="V52" s="130"/>
      <c r="W52" s="130"/>
      <c r="X52" s="53"/>
      <c r="Y52" s="141" t="str">
        <f t="shared" si="13"/>
        <v>Credit Card</v>
      </c>
      <c r="Z52" s="129"/>
      <c r="AA52" s="130"/>
      <c r="AB52" s="130"/>
      <c r="AC52" s="130"/>
      <c r="AD52" s="130"/>
    </row>
    <row r="53" spans="2:37">
      <c r="B53" s="14" t="s">
        <v>9</v>
      </c>
      <c r="C53" s="21"/>
      <c r="D53" s="12"/>
      <c r="E53" s="15"/>
      <c r="F53" s="20">
        <f>(C53+F34)</f>
        <v>0</v>
      </c>
      <c r="K53" s="141" t="str">
        <f>K15</f>
        <v>Grants</v>
      </c>
      <c r="L53" s="113"/>
      <c r="M53" s="130"/>
      <c r="N53" s="130"/>
      <c r="O53" s="130"/>
      <c r="P53" s="130"/>
      <c r="R53" s="141" t="str">
        <f t="shared" si="12"/>
        <v>Grants</v>
      </c>
      <c r="S53" s="113"/>
      <c r="T53" s="130"/>
      <c r="U53" s="130"/>
      <c r="V53" s="130"/>
      <c r="W53" s="130"/>
      <c r="Y53" s="141" t="str">
        <f t="shared" si="13"/>
        <v>Grants</v>
      </c>
      <c r="Z53" s="113"/>
      <c r="AA53" s="130"/>
      <c r="AB53" s="130"/>
      <c r="AC53" s="130"/>
      <c r="AD53" s="130"/>
    </row>
    <row r="54" spans="2:37" ht="13">
      <c r="B54" s="16" t="s">
        <v>11</v>
      </c>
      <c r="C54" s="21"/>
      <c r="D54" s="13"/>
      <c r="E54" s="16"/>
      <c r="F54" s="20">
        <f>C54+F35</f>
        <v>0</v>
      </c>
      <c r="G54" t="s">
        <v>138</v>
      </c>
      <c r="H54" s="122"/>
      <c r="J54" s="37"/>
      <c r="K54" s="141" t="str">
        <f t="shared" ref="K54:K57" si="14">K16</f>
        <v>Options</v>
      </c>
      <c r="L54" s="129"/>
      <c r="M54" s="130"/>
      <c r="N54" s="130"/>
      <c r="O54" s="130"/>
      <c r="P54" s="130"/>
      <c r="R54" s="141" t="str">
        <f t="shared" ref="R54:R57" si="15">K16</f>
        <v>Options</v>
      </c>
      <c r="S54" s="129"/>
      <c r="T54" s="130"/>
      <c r="U54" s="130"/>
      <c r="V54" s="130"/>
      <c r="W54" s="130"/>
      <c r="Y54" s="141" t="str">
        <f t="shared" ref="Y54:Y57" si="16">K16</f>
        <v>Options</v>
      </c>
      <c r="Z54" s="129"/>
      <c r="AA54" s="130"/>
      <c r="AB54" s="130"/>
      <c r="AC54" s="130"/>
      <c r="AD54" s="130"/>
    </row>
    <row r="55" spans="2:37">
      <c r="B55" s="14" t="s">
        <v>8</v>
      </c>
      <c r="C55" s="20">
        <f>SUM(C53:C54)</f>
        <v>0</v>
      </c>
      <c r="D55" s="12"/>
      <c r="E55" s="15"/>
      <c r="F55" s="20">
        <f>SUM(F53:F54)</f>
        <v>0</v>
      </c>
      <c r="K55" s="141">
        <f t="shared" si="14"/>
        <v>0</v>
      </c>
      <c r="L55" s="129"/>
      <c r="M55" s="130"/>
      <c r="N55" s="130"/>
      <c r="O55" s="130"/>
      <c r="P55" s="130"/>
      <c r="R55" s="141">
        <f t="shared" si="15"/>
        <v>0</v>
      </c>
      <c r="S55" s="129"/>
      <c r="T55" s="130"/>
      <c r="U55" s="130"/>
      <c r="V55" s="130"/>
      <c r="W55" s="130"/>
      <c r="Y55" s="141">
        <f t="shared" si="16"/>
        <v>0</v>
      </c>
      <c r="Z55" s="129"/>
      <c r="AA55" s="130"/>
      <c r="AB55" s="130"/>
      <c r="AC55" s="130"/>
      <c r="AD55" s="130"/>
    </row>
    <row r="56" spans="2:37">
      <c r="B56" s="17"/>
      <c r="C56" s="12"/>
      <c r="D56" s="12"/>
      <c r="E56" s="15"/>
      <c r="F56" s="12"/>
      <c r="K56" s="141">
        <f t="shared" si="14"/>
        <v>0</v>
      </c>
      <c r="L56" s="129"/>
      <c r="M56" s="130"/>
      <c r="N56" s="130"/>
      <c r="O56" s="130"/>
      <c r="P56" s="130"/>
      <c r="R56" s="141">
        <f t="shared" si="15"/>
        <v>0</v>
      </c>
      <c r="S56" s="129"/>
      <c r="T56" s="130"/>
      <c r="U56" s="130"/>
      <c r="V56" s="130"/>
      <c r="W56" s="130"/>
      <c r="Y56" s="141">
        <f t="shared" si="16"/>
        <v>0</v>
      </c>
      <c r="Z56" s="129"/>
      <c r="AA56" s="130"/>
      <c r="AB56" s="130"/>
      <c r="AC56" s="130"/>
      <c r="AD56" s="130"/>
    </row>
    <row r="57" spans="2:37">
      <c r="B57" s="14" t="s">
        <v>10</v>
      </c>
      <c r="C57" s="21"/>
      <c r="D57" s="12"/>
      <c r="E57" s="15"/>
      <c r="F57" s="20">
        <f>C57+F38</f>
        <v>0</v>
      </c>
      <c r="K57" s="141">
        <f t="shared" si="14"/>
        <v>0</v>
      </c>
      <c r="L57" s="131"/>
      <c r="M57" s="131"/>
      <c r="N57" s="131"/>
      <c r="O57" s="131"/>
      <c r="P57" s="131"/>
      <c r="R57" s="141">
        <f t="shared" si="15"/>
        <v>0</v>
      </c>
      <c r="S57" s="129"/>
      <c r="T57" s="130"/>
      <c r="U57" s="130"/>
      <c r="V57" s="130"/>
      <c r="W57" s="130"/>
      <c r="Y57" s="141">
        <f t="shared" si="16"/>
        <v>0</v>
      </c>
      <c r="Z57" s="129"/>
      <c r="AA57" s="130"/>
      <c r="AB57" s="130"/>
      <c r="AC57" s="130"/>
      <c r="AD57" s="130"/>
    </row>
    <row r="58" spans="2:37">
      <c r="B58" s="18" t="s">
        <v>12</v>
      </c>
      <c r="C58" s="21"/>
      <c r="D58" s="13"/>
      <c r="E58" s="16"/>
      <c r="F58" s="20">
        <f>C58+F39</f>
        <v>0</v>
      </c>
      <c r="G58" t="s">
        <v>138</v>
      </c>
      <c r="H58" s="123"/>
      <c r="J58" s="36"/>
      <c r="K58" s="128"/>
      <c r="L58" s="127"/>
      <c r="M58" s="127"/>
      <c r="N58" s="127"/>
      <c r="O58" s="127"/>
      <c r="P58" s="127"/>
      <c r="R58" s="139"/>
      <c r="Y58" s="139"/>
    </row>
    <row r="59" spans="2:37">
      <c r="B59" s="14" t="s">
        <v>8</v>
      </c>
      <c r="C59" s="20">
        <f>SUM(C57:C58)</f>
        <v>0</v>
      </c>
      <c r="D59" s="11"/>
      <c r="E59" s="15"/>
      <c r="F59" s="20">
        <f>SUM(F57:F58)</f>
        <v>0</v>
      </c>
      <c r="K59" s="139"/>
      <c r="R59" s="139"/>
      <c r="Y59" s="139"/>
    </row>
    <row r="60" spans="2:37">
      <c r="B60" s="3"/>
      <c r="C60" s="4"/>
      <c r="D60" s="5"/>
      <c r="E60" s="6"/>
      <c r="F60" s="4"/>
      <c r="K60" s="139"/>
      <c r="R60" s="139"/>
      <c r="Y60" s="139"/>
    </row>
    <row r="61" spans="2:37">
      <c r="B61" s="8" t="s">
        <v>177</v>
      </c>
      <c r="C61" s="2"/>
      <c r="E61" s="1"/>
      <c r="F61" s="7" t="s">
        <v>182</v>
      </c>
      <c r="K61" s="128" t="s">
        <v>131</v>
      </c>
      <c r="R61" s="128" t="s">
        <v>132</v>
      </c>
      <c r="Y61" s="128" t="s">
        <v>133</v>
      </c>
      <c r="AF61" s="128" t="s">
        <v>134</v>
      </c>
    </row>
    <row r="62" spans="2:37">
      <c r="B62" s="9" t="s">
        <v>15</v>
      </c>
      <c r="C62" s="19" t="s">
        <v>14</v>
      </c>
      <c r="D62" s="10"/>
      <c r="E62" s="10"/>
      <c r="F62" s="19" t="s">
        <v>13</v>
      </c>
      <c r="K62" s="128" t="s">
        <v>120</v>
      </c>
      <c r="L62" s="7" t="s">
        <v>6</v>
      </c>
      <c r="M62" s="7" t="s">
        <v>7</v>
      </c>
      <c r="N62" s="7" t="s">
        <v>117</v>
      </c>
      <c r="O62" s="7" t="s">
        <v>118</v>
      </c>
      <c r="P62" s="7" t="s">
        <v>119</v>
      </c>
      <c r="R62" s="128" t="s">
        <v>120</v>
      </c>
      <c r="S62" s="7" t="s">
        <v>6</v>
      </c>
      <c r="T62" s="7" t="s">
        <v>7</v>
      </c>
      <c r="U62" s="7" t="s">
        <v>117</v>
      </c>
      <c r="V62" s="7" t="s">
        <v>118</v>
      </c>
      <c r="W62" s="7" t="s">
        <v>119</v>
      </c>
      <c r="Y62" s="128" t="s">
        <v>120</v>
      </c>
      <c r="Z62" s="7" t="s">
        <v>6</v>
      </c>
      <c r="AA62" s="7" t="s">
        <v>7</v>
      </c>
      <c r="AB62" s="7" t="s">
        <v>117</v>
      </c>
      <c r="AC62" s="7" t="s">
        <v>118</v>
      </c>
      <c r="AD62" s="7" t="s">
        <v>119</v>
      </c>
      <c r="AF62" s="128" t="s">
        <v>120</v>
      </c>
      <c r="AG62" s="7" t="s">
        <v>6</v>
      </c>
      <c r="AH62" s="7" t="s">
        <v>7</v>
      </c>
      <c r="AI62" s="7" t="s">
        <v>117</v>
      </c>
      <c r="AJ62" s="7" t="s">
        <v>118</v>
      </c>
      <c r="AK62" s="7" t="s">
        <v>119</v>
      </c>
    </row>
    <row r="63" spans="2:37">
      <c r="B63" s="11" t="s">
        <v>16</v>
      </c>
      <c r="C63" s="21"/>
      <c r="D63" s="12"/>
      <c r="E63" s="11"/>
      <c r="F63" s="20">
        <f t="shared" ref="F63:F69" si="17">SUM(C6+C25+C44+C63)</f>
        <v>0</v>
      </c>
      <c r="H63" s="22"/>
      <c r="K63" s="141" t="str">
        <f>K6</f>
        <v>Brokerage 1</v>
      </c>
      <c r="L63" s="111"/>
      <c r="M63" s="112"/>
      <c r="N63" s="112"/>
      <c r="O63" s="112"/>
      <c r="P63" s="112"/>
      <c r="R63" s="141" t="str">
        <f>K6</f>
        <v>Brokerage 1</v>
      </c>
      <c r="S63" s="111"/>
      <c r="T63" s="112"/>
      <c r="U63" s="112"/>
      <c r="V63" s="112"/>
      <c r="W63" s="112"/>
      <c r="Y63" s="141" t="str">
        <f>K6</f>
        <v>Brokerage 1</v>
      </c>
      <c r="Z63" s="111"/>
      <c r="AA63" s="112"/>
      <c r="AB63" s="112"/>
      <c r="AC63" s="112"/>
      <c r="AD63" s="112"/>
      <c r="AF63" s="141" t="str">
        <f>K6</f>
        <v>Brokerage 1</v>
      </c>
      <c r="AG63" s="111"/>
      <c r="AH63" s="112"/>
      <c r="AI63" s="112"/>
      <c r="AJ63" s="112"/>
      <c r="AK63" s="112"/>
    </row>
    <row r="64" spans="2:37">
      <c r="B64" s="15" t="s">
        <v>52</v>
      </c>
      <c r="C64" s="21"/>
      <c r="D64" s="12"/>
      <c r="E64" s="11"/>
      <c r="F64" s="20">
        <f t="shared" si="17"/>
        <v>0</v>
      </c>
      <c r="H64" s="22"/>
      <c r="K64" s="141" t="str">
        <f t="shared" ref="K64:K76" si="18">K7</f>
        <v>Brokerage 2</v>
      </c>
      <c r="L64" s="129"/>
      <c r="M64" s="130"/>
      <c r="N64" s="130"/>
      <c r="O64" s="130"/>
      <c r="P64" s="130"/>
      <c r="Q64" s="53"/>
      <c r="R64" s="141" t="str">
        <f t="shared" ref="R64:R71" si="19">K7</f>
        <v>Brokerage 2</v>
      </c>
      <c r="S64" s="129"/>
      <c r="T64" s="130"/>
      <c r="U64" s="130"/>
      <c r="V64" s="130"/>
      <c r="W64" s="130"/>
      <c r="X64" s="53"/>
      <c r="Y64" s="141" t="str">
        <f t="shared" ref="Y64:Y72" si="20">K7</f>
        <v>Brokerage 2</v>
      </c>
      <c r="Z64" s="129"/>
      <c r="AA64" s="130"/>
      <c r="AB64" s="130"/>
      <c r="AC64" s="130"/>
      <c r="AD64" s="130"/>
      <c r="AE64" s="53"/>
      <c r="AF64" s="141" t="str">
        <f t="shared" ref="AF64:AF72" si="21">K7</f>
        <v>Brokerage 2</v>
      </c>
      <c r="AG64" s="129"/>
      <c r="AH64" s="130"/>
      <c r="AI64" s="130"/>
      <c r="AJ64" s="130"/>
      <c r="AK64" s="130"/>
    </row>
    <row r="65" spans="2:37">
      <c r="B65" s="11" t="s">
        <v>6</v>
      </c>
      <c r="C65" s="20">
        <f>SUM(L63:L76,S63:S76,Z63:Z76,AG63:AG76)</f>
        <v>0</v>
      </c>
      <c r="D65" s="12"/>
      <c r="E65" s="11"/>
      <c r="F65" s="20">
        <f>SUM(C8+C27+C46+C65)</f>
        <v>0</v>
      </c>
      <c r="H65" s="1"/>
      <c r="K65" s="141" t="str">
        <f t="shared" si="18"/>
        <v>401K</v>
      </c>
      <c r="L65" s="113"/>
      <c r="M65" s="114"/>
      <c r="N65" s="114"/>
      <c r="O65" s="114"/>
      <c r="P65" s="114"/>
      <c r="R65" s="141" t="str">
        <f t="shared" si="19"/>
        <v>401K</v>
      </c>
      <c r="S65" s="113"/>
      <c r="T65" s="114"/>
      <c r="U65" s="114"/>
      <c r="V65" s="114"/>
      <c r="W65" s="114"/>
      <c r="Y65" s="141" t="str">
        <f t="shared" si="20"/>
        <v>401K</v>
      </c>
      <c r="Z65" s="113"/>
      <c r="AA65" s="114"/>
      <c r="AB65" s="114"/>
      <c r="AC65" s="114"/>
      <c r="AD65" s="114"/>
      <c r="AF65" s="141" t="str">
        <f t="shared" si="21"/>
        <v>401K</v>
      </c>
      <c r="AG65" s="113"/>
      <c r="AH65" s="114"/>
      <c r="AI65" s="114"/>
      <c r="AJ65" s="114"/>
      <c r="AK65" s="114"/>
    </row>
    <row r="66" spans="2:37">
      <c r="B66" s="11" t="s">
        <v>7</v>
      </c>
      <c r="C66" s="20">
        <f>SUM(M63:M76,T63:T76,AA63:AA76,AH63:AH76)</f>
        <v>0</v>
      </c>
      <c r="D66" s="12"/>
      <c r="E66" s="11"/>
      <c r="F66" s="20">
        <f>SUM(C9+C28+C47+C66)</f>
        <v>0</v>
      </c>
      <c r="H66" s="1"/>
      <c r="K66" s="141" t="str">
        <f t="shared" si="18"/>
        <v>IRA</v>
      </c>
      <c r="L66" s="129"/>
      <c r="M66" s="130"/>
      <c r="N66" s="130"/>
      <c r="O66" s="130"/>
      <c r="P66" s="130"/>
      <c r="Q66" s="53"/>
      <c r="R66" s="141" t="str">
        <f t="shared" si="19"/>
        <v>IRA</v>
      </c>
      <c r="S66" s="129"/>
      <c r="T66" s="130"/>
      <c r="U66" s="130"/>
      <c r="V66" s="130"/>
      <c r="W66" s="130"/>
      <c r="X66" s="53"/>
      <c r="Y66" s="141" t="str">
        <f t="shared" si="20"/>
        <v>IRA</v>
      </c>
      <c r="Z66" s="129"/>
      <c r="AA66" s="130"/>
      <c r="AB66" s="130"/>
      <c r="AC66" s="130"/>
      <c r="AD66" s="130"/>
      <c r="AE66" s="53"/>
      <c r="AF66" s="141" t="str">
        <f t="shared" si="21"/>
        <v>IRA</v>
      </c>
      <c r="AG66" s="129"/>
      <c r="AH66" s="130"/>
      <c r="AI66" s="130"/>
      <c r="AJ66" s="130"/>
      <c r="AK66" s="130"/>
    </row>
    <row r="67" spans="2:37">
      <c r="B67" s="11" t="s">
        <v>37</v>
      </c>
      <c r="C67" s="20">
        <f>SUM(N63:N76,U63:U76,AB63:AB76,AI63:AI76)</f>
        <v>0</v>
      </c>
      <c r="D67" s="12"/>
      <c r="E67" s="11"/>
      <c r="F67" s="20">
        <f t="shared" si="17"/>
        <v>0</v>
      </c>
      <c r="K67" s="141" t="str">
        <f t="shared" si="18"/>
        <v>Mutual Fund 1</v>
      </c>
      <c r="L67" s="113"/>
      <c r="M67" s="114"/>
      <c r="N67" s="114"/>
      <c r="O67" s="114"/>
      <c r="P67" s="114"/>
      <c r="R67" s="141" t="str">
        <f t="shared" si="19"/>
        <v>Mutual Fund 1</v>
      </c>
      <c r="S67" s="113"/>
      <c r="T67" s="114"/>
      <c r="U67" s="114"/>
      <c r="V67" s="114"/>
      <c r="W67" s="114"/>
      <c r="Y67" s="141" t="str">
        <f t="shared" si="20"/>
        <v>Mutual Fund 1</v>
      </c>
      <c r="Z67" s="113"/>
      <c r="AA67" s="114"/>
      <c r="AB67" s="114"/>
      <c r="AC67" s="114"/>
      <c r="AD67" s="114"/>
      <c r="AF67" s="141" t="str">
        <f t="shared" si="21"/>
        <v>Mutual Fund 1</v>
      </c>
      <c r="AG67" s="113"/>
      <c r="AH67" s="114"/>
      <c r="AI67" s="114"/>
      <c r="AJ67" s="114"/>
      <c r="AK67" s="114"/>
    </row>
    <row r="68" spans="2:37">
      <c r="B68" s="11" t="s">
        <v>17</v>
      </c>
      <c r="C68" s="20">
        <f>SUM(O63:O76,V63:V76,AC63:AC76,AJ63:AJ76)</f>
        <v>0</v>
      </c>
      <c r="D68" s="12"/>
      <c r="E68" s="11"/>
      <c r="F68" s="20">
        <f t="shared" si="17"/>
        <v>0</v>
      </c>
      <c r="K68" s="141" t="str">
        <f t="shared" si="18"/>
        <v>Mut Fund 2</v>
      </c>
      <c r="L68" s="113"/>
      <c r="M68" s="114"/>
      <c r="N68" s="114"/>
      <c r="O68" s="114"/>
      <c r="P68" s="114"/>
      <c r="R68" s="141" t="str">
        <f t="shared" si="19"/>
        <v>Mut Fund 2</v>
      </c>
      <c r="S68" s="113"/>
      <c r="T68" s="114"/>
      <c r="U68" s="114"/>
      <c r="V68" s="114"/>
      <c r="W68" s="114"/>
      <c r="Y68" s="141" t="str">
        <f t="shared" si="20"/>
        <v>Mut Fund 2</v>
      </c>
      <c r="Z68" s="113"/>
      <c r="AA68" s="114"/>
      <c r="AB68" s="114"/>
      <c r="AC68" s="114"/>
      <c r="AD68" s="114"/>
      <c r="AF68" s="141" t="str">
        <f t="shared" si="21"/>
        <v>Mut Fund 2</v>
      </c>
      <c r="AG68" s="113"/>
      <c r="AH68" s="114"/>
      <c r="AI68" s="114"/>
      <c r="AJ68" s="114"/>
      <c r="AK68" s="114"/>
    </row>
    <row r="69" spans="2:37">
      <c r="B69" s="11" t="s">
        <v>26</v>
      </c>
      <c r="C69" s="20">
        <f>SUM(P63:P76,W63:W76,AD63:AD76,AK63:AK76)</f>
        <v>0</v>
      </c>
      <c r="D69" s="12"/>
      <c r="E69" s="11"/>
      <c r="F69" s="20">
        <f t="shared" si="17"/>
        <v>0</v>
      </c>
      <c r="K69" s="141" t="str">
        <f t="shared" si="18"/>
        <v>Bank 1</v>
      </c>
      <c r="L69" s="129"/>
      <c r="M69" s="114"/>
      <c r="N69" s="130"/>
      <c r="O69" s="130"/>
      <c r="P69" s="130"/>
      <c r="Q69" s="53"/>
      <c r="R69" s="141" t="str">
        <f t="shared" si="19"/>
        <v>Bank 1</v>
      </c>
      <c r="S69" s="129"/>
      <c r="T69" s="114"/>
      <c r="U69" s="130"/>
      <c r="V69" s="130"/>
      <c r="W69" s="130"/>
      <c r="X69" s="53"/>
      <c r="Y69" s="141" t="str">
        <f t="shared" si="20"/>
        <v>Bank 1</v>
      </c>
      <c r="Z69" s="129"/>
      <c r="AA69" s="114"/>
      <c r="AB69" s="130"/>
      <c r="AC69" s="130"/>
      <c r="AD69" s="130"/>
      <c r="AE69" s="53"/>
      <c r="AF69" s="141" t="str">
        <f t="shared" si="21"/>
        <v>Bank 1</v>
      </c>
      <c r="AG69" s="129"/>
      <c r="AH69" s="114"/>
      <c r="AI69" s="130"/>
      <c r="AJ69" s="130"/>
      <c r="AK69" s="130"/>
    </row>
    <row r="70" spans="2:37">
      <c r="B70" s="14" t="s">
        <v>8</v>
      </c>
      <c r="C70" s="20">
        <f>SUM(C63:C69)</f>
        <v>0</v>
      </c>
      <c r="D70" s="12"/>
      <c r="E70" s="15"/>
      <c r="F70" s="20">
        <f>SUM(F63:F69)</f>
        <v>0</v>
      </c>
      <c r="K70" s="141" t="str">
        <f t="shared" si="18"/>
        <v>Credit Union</v>
      </c>
      <c r="L70" s="129"/>
      <c r="M70" s="114"/>
      <c r="N70" s="130"/>
      <c r="O70" s="130"/>
      <c r="P70" s="130"/>
      <c r="Q70" s="53"/>
      <c r="R70" s="141" t="str">
        <f t="shared" si="19"/>
        <v>Credit Union</v>
      </c>
      <c r="S70" s="129"/>
      <c r="T70" s="114"/>
      <c r="U70" s="130"/>
      <c r="V70" s="130"/>
      <c r="W70" s="130"/>
      <c r="X70" s="53"/>
      <c r="Y70" s="141" t="str">
        <f t="shared" si="20"/>
        <v>Credit Union</v>
      </c>
      <c r="Z70" s="129"/>
      <c r="AA70" s="114"/>
      <c r="AB70" s="130"/>
      <c r="AC70" s="130"/>
      <c r="AD70" s="130"/>
      <c r="AE70" s="53"/>
      <c r="AF70" s="141" t="str">
        <f t="shared" si="21"/>
        <v>Credit Union</v>
      </c>
      <c r="AG70" s="129"/>
      <c r="AH70" s="114"/>
      <c r="AI70" s="130"/>
      <c r="AJ70" s="130"/>
      <c r="AK70" s="130"/>
    </row>
    <row r="71" spans="2:37">
      <c r="B71" s="11"/>
      <c r="C71" s="11"/>
      <c r="D71" s="11"/>
      <c r="E71" s="11"/>
      <c r="F71" s="11"/>
      <c r="K71" s="141" t="str">
        <f t="shared" si="18"/>
        <v>Credit Card</v>
      </c>
      <c r="L71" s="129"/>
      <c r="M71" s="130"/>
      <c r="N71" s="130"/>
      <c r="O71" s="130"/>
      <c r="P71" s="130"/>
      <c r="R71" s="141" t="str">
        <f t="shared" si="19"/>
        <v>Credit Card</v>
      </c>
      <c r="S71" s="129"/>
      <c r="T71" s="130"/>
      <c r="U71" s="130"/>
      <c r="V71" s="130"/>
      <c r="W71" s="130"/>
      <c r="X71" s="53"/>
      <c r="Y71" s="141" t="str">
        <f t="shared" si="20"/>
        <v>Credit Card</v>
      </c>
      <c r="Z71" s="129"/>
      <c r="AA71" s="130"/>
      <c r="AB71" s="130"/>
      <c r="AC71" s="130"/>
      <c r="AD71" s="130"/>
      <c r="AE71" s="53"/>
      <c r="AF71" s="141" t="str">
        <f t="shared" si="21"/>
        <v>Credit Card</v>
      </c>
      <c r="AG71" s="129"/>
      <c r="AH71" s="130"/>
      <c r="AI71" s="130"/>
      <c r="AJ71" s="130"/>
      <c r="AK71" s="130"/>
    </row>
    <row r="72" spans="2:37">
      <c r="B72" s="14" t="s">
        <v>9</v>
      </c>
      <c r="C72" s="21"/>
      <c r="D72" s="12"/>
      <c r="E72" s="15"/>
      <c r="F72" s="20">
        <f>(C72+F53)</f>
        <v>0</v>
      </c>
      <c r="H72" s="22"/>
      <c r="K72" s="141" t="str">
        <f t="shared" si="18"/>
        <v>Grants</v>
      </c>
      <c r="L72" s="113"/>
      <c r="M72" s="130"/>
      <c r="N72" s="130"/>
      <c r="O72" s="130"/>
      <c r="P72" s="130"/>
      <c r="R72" s="141" t="str">
        <f>K15</f>
        <v>Grants</v>
      </c>
      <c r="S72" s="113"/>
      <c r="T72" s="130"/>
      <c r="U72" s="130"/>
      <c r="V72" s="130"/>
      <c r="W72" s="130"/>
      <c r="Y72" s="141" t="str">
        <f t="shared" si="20"/>
        <v>Grants</v>
      </c>
      <c r="Z72" s="113"/>
      <c r="AA72" s="130"/>
      <c r="AB72" s="130"/>
      <c r="AC72" s="130"/>
      <c r="AD72" s="130"/>
      <c r="AF72" s="141" t="str">
        <f t="shared" si="21"/>
        <v>Grants</v>
      </c>
      <c r="AG72" s="113"/>
      <c r="AH72" s="130"/>
      <c r="AI72" s="130"/>
      <c r="AJ72" s="130"/>
      <c r="AK72" s="130"/>
    </row>
    <row r="73" spans="2:37">
      <c r="B73" s="16" t="s">
        <v>11</v>
      </c>
      <c r="C73" s="21"/>
      <c r="D73" s="13"/>
      <c r="E73" s="16"/>
      <c r="F73" s="20">
        <f>C73+F54</f>
        <v>0</v>
      </c>
      <c r="G73" t="s">
        <v>138</v>
      </c>
      <c r="H73" s="121"/>
      <c r="J73" s="37"/>
      <c r="K73" s="141" t="str">
        <f t="shared" si="18"/>
        <v>Options</v>
      </c>
      <c r="L73" s="129"/>
      <c r="M73" s="130"/>
      <c r="N73" s="130"/>
      <c r="O73" s="130"/>
      <c r="P73" s="130"/>
      <c r="R73" s="141" t="str">
        <f t="shared" ref="R73:R76" si="22">K16</f>
        <v>Options</v>
      </c>
      <c r="S73" s="129"/>
      <c r="T73" s="130"/>
      <c r="U73" s="130"/>
      <c r="V73" s="130"/>
      <c r="W73" s="130"/>
      <c r="Y73" s="141" t="str">
        <f t="shared" ref="Y73:Y76" si="23">K16</f>
        <v>Options</v>
      </c>
      <c r="Z73" s="129"/>
      <c r="AA73" s="130"/>
      <c r="AB73" s="130"/>
      <c r="AC73" s="130"/>
      <c r="AD73" s="130"/>
      <c r="AF73" s="141" t="str">
        <f t="shared" ref="AF73:AF76" si="24">K16</f>
        <v>Options</v>
      </c>
      <c r="AG73" s="129"/>
      <c r="AH73" s="130"/>
      <c r="AI73" s="130"/>
      <c r="AJ73" s="130"/>
      <c r="AK73" s="130"/>
    </row>
    <row r="74" spans="2:37">
      <c r="B74" s="14" t="s">
        <v>8</v>
      </c>
      <c r="C74" s="20">
        <f>SUM(C72:C73)</f>
        <v>0</v>
      </c>
      <c r="D74" s="12"/>
      <c r="E74" s="15"/>
      <c r="F74" s="20">
        <f>SUM(F72:F73)</f>
        <v>0</v>
      </c>
      <c r="K74" s="141">
        <f t="shared" si="18"/>
        <v>0</v>
      </c>
      <c r="L74" s="129"/>
      <c r="M74" s="130"/>
      <c r="N74" s="130"/>
      <c r="O74" s="130"/>
      <c r="P74" s="130"/>
      <c r="R74" s="141">
        <f t="shared" si="22"/>
        <v>0</v>
      </c>
      <c r="S74" s="129"/>
      <c r="T74" s="130"/>
      <c r="U74" s="130"/>
      <c r="V74" s="130"/>
      <c r="W74" s="130"/>
      <c r="Y74" s="141">
        <f t="shared" si="23"/>
        <v>0</v>
      </c>
      <c r="Z74" s="129"/>
      <c r="AA74" s="130"/>
      <c r="AB74" s="130"/>
      <c r="AC74" s="130"/>
      <c r="AD74" s="130"/>
      <c r="AF74" s="141">
        <f t="shared" si="24"/>
        <v>0</v>
      </c>
      <c r="AG74" s="129"/>
      <c r="AH74" s="130"/>
      <c r="AI74" s="130"/>
      <c r="AJ74" s="130"/>
      <c r="AK74" s="130"/>
    </row>
    <row r="75" spans="2:37">
      <c r="B75" s="17"/>
      <c r="C75" s="12"/>
      <c r="D75" s="12"/>
      <c r="E75" s="15"/>
      <c r="F75" s="12"/>
      <c r="K75" s="141">
        <f t="shared" si="18"/>
        <v>0</v>
      </c>
      <c r="L75" s="129"/>
      <c r="M75" s="130"/>
      <c r="N75" s="130"/>
      <c r="O75" s="130"/>
      <c r="P75" s="130"/>
      <c r="R75" s="141">
        <f t="shared" si="22"/>
        <v>0</v>
      </c>
      <c r="S75" s="129"/>
      <c r="T75" s="130"/>
      <c r="U75" s="130"/>
      <c r="V75" s="130"/>
      <c r="W75" s="130"/>
      <c r="Y75" s="141">
        <f t="shared" si="23"/>
        <v>0</v>
      </c>
      <c r="Z75" s="129"/>
      <c r="AA75" s="130"/>
      <c r="AB75" s="130"/>
      <c r="AC75" s="130"/>
      <c r="AD75" s="130"/>
      <c r="AF75" s="141">
        <f t="shared" si="24"/>
        <v>0</v>
      </c>
      <c r="AG75" s="129"/>
      <c r="AH75" s="130"/>
      <c r="AI75" s="130"/>
      <c r="AJ75" s="130"/>
      <c r="AK75" s="130"/>
    </row>
    <row r="76" spans="2:37">
      <c r="B76" s="14" t="s">
        <v>10</v>
      </c>
      <c r="C76" s="21"/>
      <c r="D76" s="12"/>
      <c r="E76" s="15"/>
      <c r="F76" s="20">
        <f>C76+F57</f>
        <v>0</v>
      </c>
      <c r="H76" s="22"/>
      <c r="K76" s="141">
        <f t="shared" si="18"/>
        <v>0</v>
      </c>
      <c r="L76" s="131"/>
      <c r="M76" s="131"/>
      <c r="N76" s="131"/>
      <c r="O76" s="131"/>
      <c r="P76" s="131"/>
      <c r="R76" s="141">
        <f t="shared" si="22"/>
        <v>0</v>
      </c>
      <c r="S76" s="129"/>
      <c r="T76" s="130"/>
      <c r="U76" s="130"/>
      <c r="V76" s="130"/>
      <c r="W76" s="130"/>
      <c r="Y76" s="141">
        <f t="shared" si="23"/>
        <v>0</v>
      </c>
      <c r="Z76" s="129"/>
      <c r="AA76" s="130"/>
      <c r="AB76" s="130"/>
      <c r="AC76" s="130"/>
      <c r="AD76" s="130"/>
      <c r="AF76" s="141">
        <f t="shared" si="24"/>
        <v>0</v>
      </c>
      <c r="AG76" s="129"/>
      <c r="AH76" s="130"/>
      <c r="AI76" s="130"/>
      <c r="AJ76" s="130"/>
      <c r="AK76" s="130"/>
    </row>
    <row r="77" spans="2:37">
      <c r="B77" s="18" t="s">
        <v>12</v>
      </c>
      <c r="C77" s="21"/>
      <c r="D77" s="13"/>
      <c r="E77" s="16"/>
      <c r="F77" s="20">
        <f>C77+F58</f>
        <v>0</v>
      </c>
      <c r="G77" t="s">
        <v>138</v>
      </c>
      <c r="H77" s="121"/>
      <c r="J77" s="33"/>
      <c r="K77" s="7"/>
      <c r="L77" s="127"/>
      <c r="M77" s="127"/>
      <c r="N77" s="127"/>
      <c r="O77" s="127"/>
      <c r="P77" s="127"/>
    </row>
    <row r="78" spans="2:37">
      <c r="B78" s="14" t="s">
        <v>8</v>
      </c>
      <c r="C78" s="20">
        <f>SUM(C76:C77)</f>
        <v>0</v>
      </c>
      <c r="D78" s="11"/>
      <c r="E78" s="15"/>
      <c r="F78" s="20">
        <f>SUM(F76:F77)</f>
        <v>0</v>
      </c>
    </row>
    <row r="81" spans="3:19">
      <c r="C81" s="1" t="s">
        <v>82</v>
      </c>
      <c r="D81" s="1"/>
      <c r="F81" s="63">
        <f>'Federal Income Tax'!B90</f>
        <v>0</v>
      </c>
      <c r="H81" s="1"/>
      <c r="K81" t="s">
        <v>145</v>
      </c>
    </row>
    <row r="82" spans="3:19">
      <c r="C82" s="1" t="s">
        <v>83</v>
      </c>
      <c r="D82" s="1"/>
      <c r="F82" s="63">
        <f>'GA State Income Tax'!B30</f>
        <v>0</v>
      </c>
      <c r="H82" s="1"/>
      <c r="K82" s="7" t="s">
        <v>120</v>
      </c>
      <c r="L82" s="7" t="s">
        <v>6</v>
      </c>
      <c r="M82" s="7" t="s">
        <v>7</v>
      </c>
      <c r="N82" s="7" t="s">
        <v>117</v>
      </c>
      <c r="O82" s="7" t="s">
        <v>118</v>
      </c>
      <c r="P82" s="7" t="s">
        <v>119</v>
      </c>
    </row>
    <row r="83" spans="3:19">
      <c r="K83" s="7" t="str">
        <f>K6</f>
        <v>Brokerage 1</v>
      </c>
      <c r="L83" s="116">
        <f>L6+S6+Z6+L25+S25+L44+S44+Z44+L63+S63+Z63+AG63</f>
        <v>0</v>
      </c>
      <c r="M83" s="116">
        <f>M6+T6+AA6+M25+T25+M44+T44+AA44+M63+T63+AA63+AH63</f>
        <v>0</v>
      </c>
      <c r="N83" s="116">
        <f>N6+U6+AB6+N25+U25+N44+U44+AB44+N63+U63+AB63+AI63</f>
        <v>0</v>
      </c>
      <c r="O83" s="116">
        <f>O6+V6+AC6+O25+V25+O44+V44+AC44+O63+V63+AC63+AJ63</f>
        <v>0</v>
      </c>
      <c r="P83" s="116">
        <f>P6+W6+AD6+P25+W25+P44+W44+AD44+P63+W63+AD63+AK63</f>
        <v>0</v>
      </c>
    </row>
    <row r="84" spans="3:19">
      <c r="K84" s="7" t="str">
        <f t="shared" ref="K84:K96" si="25">K7</f>
        <v>Brokerage 2</v>
      </c>
      <c r="L84" s="116">
        <f t="shared" ref="L84:P84" si="26">L7+S7+Z7+L26+S26+L45+S45+Z45+L64+S64+Z64+AG64</f>
        <v>0</v>
      </c>
      <c r="M84" s="116">
        <f t="shared" si="26"/>
        <v>0</v>
      </c>
      <c r="N84" s="116">
        <f t="shared" si="26"/>
        <v>0</v>
      </c>
      <c r="O84" s="116">
        <f t="shared" si="26"/>
        <v>0</v>
      </c>
      <c r="P84" s="116">
        <f t="shared" si="26"/>
        <v>0</v>
      </c>
    </row>
    <row r="85" spans="3:19">
      <c r="K85" s="7" t="str">
        <f t="shared" si="25"/>
        <v>401K</v>
      </c>
      <c r="L85" s="116">
        <f>L8+S8+Z8+L27+S27+L46+S46+Z46+L65+S65+Z65+AG65</f>
        <v>0</v>
      </c>
      <c r="M85" s="116">
        <f t="shared" ref="M85:P85" si="27">M8+T8+AA8+M27+T27+M46+T46+AA46+M65+T65+AA65+AH65</f>
        <v>0</v>
      </c>
      <c r="N85" s="116">
        <f t="shared" si="27"/>
        <v>0</v>
      </c>
      <c r="O85" s="116">
        <f t="shared" si="27"/>
        <v>0</v>
      </c>
      <c r="P85" s="116">
        <f t="shared" si="27"/>
        <v>0</v>
      </c>
    </row>
    <row r="86" spans="3:19">
      <c r="K86" s="7" t="str">
        <f t="shared" si="25"/>
        <v>IRA</v>
      </c>
      <c r="L86" s="116">
        <f t="shared" ref="L86:P86" si="28">L9+S9+Z9+L28+S28+L47+S47+Z47+L66+S66+Z66+AG66</f>
        <v>0</v>
      </c>
      <c r="M86" s="116">
        <f t="shared" si="28"/>
        <v>0</v>
      </c>
      <c r="N86" s="116">
        <f t="shared" si="28"/>
        <v>0</v>
      </c>
      <c r="O86" s="116">
        <f t="shared" si="28"/>
        <v>0</v>
      </c>
      <c r="P86" s="116">
        <f t="shared" si="28"/>
        <v>0</v>
      </c>
    </row>
    <row r="87" spans="3:19">
      <c r="K87" s="7" t="str">
        <f t="shared" si="25"/>
        <v>Mutual Fund 1</v>
      </c>
      <c r="L87" s="116">
        <f t="shared" ref="L87:P87" si="29">L10+S10+Z10+L29+S29+L48+S48+Z48+L67+S67+Z67+AG67</f>
        <v>0</v>
      </c>
      <c r="M87" s="116">
        <f t="shared" si="29"/>
        <v>0</v>
      </c>
      <c r="N87" s="116">
        <f t="shared" si="29"/>
        <v>0</v>
      </c>
      <c r="O87" s="116">
        <f t="shared" si="29"/>
        <v>0</v>
      </c>
      <c r="P87" s="116">
        <f t="shared" si="29"/>
        <v>0</v>
      </c>
    </row>
    <row r="88" spans="3:19">
      <c r="K88" s="7" t="str">
        <f t="shared" si="25"/>
        <v>Mut Fund 2</v>
      </c>
      <c r="L88" s="116">
        <f t="shared" ref="L88:P88" si="30">L11+S11+Z11+L30+S30+L49+S49+Z49+L68+S68+Z68+AG68</f>
        <v>0</v>
      </c>
      <c r="M88" s="116">
        <f t="shared" si="30"/>
        <v>0</v>
      </c>
      <c r="N88" s="116">
        <f t="shared" si="30"/>
        <v>0</v>
      </c>
      <c r="O88" s="116">
        <f t="shared" si="30"/>
        <v>0</v>
      </c>
      <c r="P88" s="116">
        <f t="shared" si="30"/>
        <v>0</v>
      </c>
    </row>
    <row r="89" spans="3:19">
      <c r="K89" s="7" t="str">
        <f t="shared" si="25"/>
        <v>Bank 1</v>
      </c>
      <c r="L89" s="116">
        <f t="shared" ref="L89:P89" si="31">L12+S12+Z12+L31+S31+L50+S50+Z50+L69+S69+Z69+AG69</f>
        <v>0</v>
      </c>
      <c r="M89" s="116">
        <f t="shared" si="31"/>
        <v>0</v>
      </c>
      <c r="N89" s="116">
        <f t="shared" si="31"/>
        <v>0</v>
      </c>
      <c r="O89" s="116">
        <f t="shared" si="31"/>
        <v>0</v>
      </c>
      <c r="P89" s="116">
        <f t="shared" si="31"/>
        <v>0</v>
      </c>
    </row>
    <row r="90" spans="3:19">
      <c r="K90" s="7" t="str">
        <f t="shared" si="25"/>
        <v>Credit Union</v>
      </c>
      <c r="L90" s="116">
        <f t="shared" ref="L90:P90" si="32">L13+S13+Z13+L32+S32+L51+S51+Z51+L70+S70+Z70+AG70</f>
        <v>0</v>
      </c>
      <c r="M90" s="116">
        <f t="shared" si="32"/>
        <v>0</v>
      </c>
      <c r="N90" s="116">
        <f t="shared" si="32"/>
        <v>0</v>
      </c>
      <c r="O90" s="116">
        <f t="shared" si="32"/>
        <v>0</v>
      </c>
      <c r="P90" s="116">
        <f t="shared" si="32"/>
        <v>0</v>
      </c>
      <c r="S90" s="117"/>
    </row>
    <row r="91" spans="3:19">
      <c r="K91" s="7" t="str">
        <f t="shared" si="25"/>
        <v>Credit Card</v>
      </c>
      <c r="L91" s="116">
        <f t="shared" ref="L91:P91" si="33">L14+S14+Z14+L33+S33+L52+S52+Z52+L71+S71+Z71+AG71</f>
        <v>0</v>
      </c>
      <c r="M91" s="116">
        <f t="shared" si="33"/>
        <v>0</v>
      </c>
      <c r="N91" s="116">
        <f t="shared" si="33"/>
        <v>0</v>
      </c>
      <c r="O91" s="116">
        <f t="shared" si="33"/>
        <v>0</v>
      </c>
      <c r="P91" s="116">
        <f t="shared" si="33"/>
        <v>0</v>
      </c>
    </row>
    <row r="92" spans="3:19">
      <c r="K92" s="7" t="str">
        <f t="shared" si="25"/>
        <v>Grants</v>
      </c>
      <c r="L92" s="116">
        <f t="shared" ref="L92:P92" si="34">L15+S15+Z15+L34+S34+L53+S53+Z53+L72+S72+Z72+AG72</f>
        <v>0</v>
      </c>
      <c r="M92" s="116">
        <f t="shared" si="34"/>
        <v>0</v>
      </c>
      <c r="N92" s="116">
        <f t="shared" si="34"/>
        <v>0</v>
      </c>
      <c r="O92" s="116">
        <f t="shared" si="34"/>
        <v>0</v>
      </c>
      <c r="P92" s="116">
        <f t="shared" si="34"/>
        <v>0</v>
      </c>
    </row>
    <row r="93" spans="3:19">
      <c r="K93" s="7" t="str">
        <f t="shared" si="25"/>
        <v>Options</v>
      </c>
      <c r="L93" s="116">
        <f t="shared" ref="L93:L96" si="35">L16+S16+Z16+L35+S35+L54+S54+Z54+L73+S73+Z73+AG73</f>
        <v>0</v>
      </c>
      <c r="M93" s="116">
        <f t="shared" ref="M93:M96" si="36">M16+T16+AA16+M35+T35+M54+T54+AA54+M73+T73+AA73+AH73</f>
        <v>0</v>
      </c>
      <c r="N93" s="116">
        <f t="shared" ref="N93:N96" si="37">N16+U16+AB16+N35+U35+N54+U54+AB54+N73+U73+AB73+AI73</f>
        <v>0</v>
      </c>
      <c r="O93" s="116">
        <f t="shared" ref="O93:O96" si="38">O16+V16+AC16+O35+V35+O54+V54+AC54+O73+V73+AC73+AJ73</f>
        <v>0</v>
      </c>
      <c r="P93" s="116">
        <f t="shared" ref="P93:P96" si="39">P16+W16+AD16+P35+W35+P54+W54+AD54+P73+W73+AD73+AK73</f>
        <v>0</v>
      </c>
    </row>
    <row r="94" spans="3:19">
      <c r="K94" s="7">
        <f t="shared" si="25"/>
        <v>0</v>
      </c>
      <c r="L94" s="116">
        <f t="shared" si="35"/>
        <v>0</v>
      </c>
      <c r="M94" s="116">
        <f t="shared" si="36"/>
        <v>0</v>
      </c>
      <c r="N94" s="116">
        <f t="shared" si="37"/>
        <v>0</v>
      </c>
      <c r="O94" s="116">
        <f t="shared" si="38"/>
        <v>0</v>
      </c>
      <c r="P94" s="116">
        <f t="shared" si="39"/>
        <v>0</v>
      </c>
    </row>
    <row r="95" spans="3:19">
      <c r="K95" s="7">
        <f t="shared" si="25"/>
        <v>0</v>
      </c>
      <c r="L95" s="116">
        <f t="shared" si="35"/>
        <v>0</v>
      </c>
      <c r="M95" s="116">
        <f t="shared" si="36"/>
        <v>0</v>
      </c>
      <c r="N95" s="116">
        <f t="shared" si="37"/>
        <v>0</v>
      </c>
      <c r="O95" s="116">
        <f t="shared" si="38"/>
        <v>0</v>
      </c>
      <c r="P95" s="116">
        <f t="shared" si="39"/>
        <v>0</v>
      </c>
    </row>
    <row r="96" spans="3:19">
      <c r="K96" s="7">
        <f t="shared" si="25"/>
        <v>0</v>
      </c>
      <c r="L96" s="116">
        <f t="shared" si="35"/>
        <v>0</v>
      </c>
      <c r="M96" s="116">
        <f t="shared" si="36"/>
        <v>0</v>
      </c>
      <c r="N96" s="116">
        <f t="shared" si="37"/>
        <v>0</v>
      </c>
      <c r="O96" s="116">
        <f t="shared" si="38"/>
        <v>0</v>
      </c>
      <c r="P96" s="116">
        <f t="shared" si="39"/>
        <v>0</v>
      </c>
    </row>
    <row r="99" spans="11:16">
      <c r="K99" s="8" t="s">
        <v>136</v>
      </c>
      <c r="L99" s="7" t="s">
        <v>6</v>
      </c>
      <c r="M99" s="7" t="s">
        <v>7</v>
      </c>
      <c r="N99" s="7" t="s">
        <v>117</v>
      </c>
      <c r="O99" s="7" t="s">
        <v>118</v>
      </c>
      <c r="P99" s="7" t="s">
        <v>119</v>
      </c>
    </row>
    <row r="100" spans="11:16">
      <c r="L100" s="116">
        <f>SUM(L83:L96)</f>
        <v>0</v>
      </c>
      <c r="M100" s="116">
        <f>SUM(M83:M96)</f>
        <v>0</v>
      </c>
      <c r="N100" s="116">
        <f>SUM(N83:N96)</f>
        <v>0</v>
      </c>
      <c r="O100" s="116">
        <f>SUM(O83:O96)</f>
        <v>0</v>
      </c>
      <c r="P100" s="116">
        <f>SUM(P83:P96)</f>
        <v>0</v>
      </c>
    </row>
  </sheetData>
  <phoneticPr fontId="1" type="noConversion"/>
  <pageMargins left="0.75" right="0.75" top="1" bottom="1" header="0.5" footer="0.5"/>
  <pageSetup scale="41" orientation="landscape"/>
  <headerFooter alignWithMargins="0"/>
  <ignoredErrors>
    <ignoredError sqref="Y16 R16 K35 R35 K54 R54 Y54 K73 R73 Y73 AF73" emptyCellReference="1"/>
  </ignoredErrors>
  <extLst>
    <ext xmlns:mx="http://schemas.microsoft.com/office/mac/excel/2008/main" uri="{64002731-A6B0-56B0-2670-7721B7C09600}">
      <mx:PLV Mode="0" OnePage="0" WScale="10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K28"/>
  <sheetViews>
    <sheetView zoomScale="125" zoomScaleNormal="125" zoomScalePageLayoutView="125" workbookViewId="0">
      <selection activeCell="M9" sqref="M9"/>
    </sheetView>
  </sheetViews>
  <sheetFormatPr baseColWidth="10" defaultRowHeight="12" x14ac:dyDescent="0"/>
  <cols>
    <col min="1" max="1" width="10.83203125" style="53"/>
    <col min="2" max="2" width="11.33203125" style="53" bestFit="1" customWidth="1"/>
    <col min="3" max="16384" width="10.83203125" style="53"/>
  </cols>
  <sheetData>
    <row r="2" spans="1:11" ht="15">
      <c r="B2" s="49" t="s">
        <v>18</v>
      </c>
    </row>
    <row r="4" spans="1:11">
      <c r="B4" s="25">
        <f>'Federal Income Tax'!B65</f>
        <v>0</v>
      </c>
      <c r="C4" s="46" t="s">
        <v>45</v>
      </c>
    </row>
    <row r="5" spans="1:11">
      <c r="B5" s="26">
        <v>0</v>
      </c>
      <c r="C5" s="53" t="s">
        <v>35</v>
      </c>
      <c r="G5" s="43" t="s">
        <v>30</v>
      </c>
    </row>
    <row r="6" spans="1:11">
      <c r="B6" s="25">
        <f>B4-B5</f>
        <v>0</v>
      </c>
      <c r="C6" s="53" t="s">
        <v>34</v>
      </c>
    </row>
    <row r="7" spans="1:11">
      <c r="B7" s="57"/>
    </row>
    <row r="8" spans="1:11">
      <c r="A8" s="46"/>
      <c r="B8" s="34">
        <v>126500</v>
      </c>
      <c r="C8" s="53" t="s">
        <v>20</v>
      </c>
      <c r="G8" s="43" t="s">
        <v>157</v>
      </c>
      <c r="K8" s="53" t="s">
        <v>158</v>
      </c>
    </row>
    <row r="9" spans="1:11">
      <c r="A9" s="46"/>
      <c r="B9" s="26">
        <v>1156300</v>
      </c>
      <c r="C9" s="53" t="s">
        <v>19</v>
      </c>
      <c r="G9" s="43" t="s">
        <v>157</v>
      </c>
    </row>
    <row r="10" spans="1:11">
      <c r="B10" s="56"/>
      <c r="G10" s="43"/>
    </row>
    <row r="11" spans="1:11">
      <c r="B11" s="27">
        <v>0.26</v>
      </c>
      <c r="C11" s="53" t="s">
        <v>28</v>
      </c>
      <c r="G11" s="43" t="s">
        <v>42</v>
      </c>
    </row>
    <row r="12" spans="1:11">
      <c r="B12" s="35">
        <v>0.28000000000000003</v>
      </c>
      <c r="C12" s="53" t="s">
        <v>29</v>
      </c>
      <c r="F12" s="43"/>
    </row>
    <row r="13" spans="1:11">
      <c r="A13" s="46"/>
      <c r="B13" s="30">
        <v>220700</v>
      </c>
      <c r="C13" s="53" t="s">
        <v>137</v>
      </c>
      <c r="F13" s="43"/>
      <c r="G13" s="43" t="s">
        <v>157</v>
      </c>
    </row>
    <row r="14" spans="1:11">
      <c r="B14" s="56"/>
      <c r="G14" s="43"/>
    </row>
    <row r="15" spans="1:11">
      <c r="B15" s="25">
        <f>MAX(B8-MAX(B6-B9,0)*0.25, 0)</f>
        <v>126500</v>
      </c>
      <c r="C15" s="53" t="s">
        <v>21</v>
      </c>
      <c r="G15" s="43" t="s">
        <v>39</v>
      </c>
    </row>
    <row r="16" spans="1:11">
      <c r="B16" s="25">
        <f>IF(B6-B15&lt;0,0,B6-B15)</f>
        <v>0</v>
      </c>
      <c r="C16" s="53" t="s">
        <v>22</v>
      </c>
      <c r="G16" s="43" t="s">
        <v>40</v>
      </c>
    </row>
    <row r="18" spans="2:8">
      <c r="B18" s="25">
        <f>'Quarterly Income'!C8+'Quarterly Income'!C12+'Quarterly Income'!C27+'Quarterly Income'!C31+'Quarterly Income'!C46+'Quarterly Income'!C50+'Quarterly Income'!C65+'Quarterly Income'!C69</f>
        <v>0</v>
      </c>
      <c r="C18" s="53" t="s">
        <v>23</v>
      </c>
    </row>
    <row r="19" spans="2:8">
      <c r="B19" s="25">
        <f>IF(B18&gt;0,MAX(B16-B18,0),B16)</f>
        <v>0</v>
      </c>
      <c r="C19" s="53" t="s">
        <v>31</v>
      </c>
      <c r="G19" s="43" t="s">
        <v>38</v>
      </c>
    </row>
    <row r="20" spans="2:8">
      <c r="B20" s="54"/>
    </row>
    <row r="21" spans="2:8">
      <c r="B21" s="31">
        <f>IF(B19&lt;=B13,B19*B11,((B13*B11)+(B19-B13)*B12))</f>
        <v>0</v>
      </c>
      <c r="C21" s="53" t="s">
        <v>24</v>
      </c>
    </row>
    <row r="22" spans="2:8">
      <c r="B22" s="28">
        <f>'Quarterly Income'!F72+'Quarterly Income'!F73</f>
        <v>0</v>
      </c>
      <c r="C22" s="46" t="s">
        <v>41</v>
      </c>
    </row>
    <row r="23" spans="2:8">
      <c r="B23" s="55"/>
    </row>
    <row r="24" spans="2:8">
      <c r="B24" s="32">
        <f>IF(B19&gt;0,B21/B19,B11)</f>
        <v>0.26</v>
      </c>
      <c r="C24" s="53" t="s">
        <v>33</v>
      </c>
      <c r="G24" s="43" t="s">
        <v>32</v>
      </c>
    </row>
    <row r="25" spans="2:8" s="119" customFormat="1" ht="17">
      <c r="B25" s="148">
        <f>IF(B21&gt;B22,B21-B22,0)</f>
        <v>0</v>
      </c>
      <c r="C25" s="49" t="s">
        <v>25</v>
      </c>
    </row>
    <row r="28" spans="2:8">
      <c r="H28" s="54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Overview</vt:lpstr>
      <vt:lpstr>Federal Income Tax</vt:lpstr>
      <vt:lpstr>GA State Income Tax</vt:lpstr>
      <vt:lpstr>Quarterly Income</vt:lpstr>
      <vt:lpstr>AMT</vt:lpstr>
    </vt:vector>
  </TitlesOfParts>
  <Manager/>
  <Company/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Tax Estimates</dc:title>
  <dc:subject/>
  <dc:creator>Michael Sandrik, Tom Anschutz</dc:creator>
  <cp:keywords>Tax Estimate quarterly payments</cp:keywords>
  <dc:description>Based on http://mikesandrik.com/spreadsheets/_x000d_TA changed CA to GA for state and added the input grid to quarterly income to make it easier to collect multiple accounts and reconcile. </dc:description>
  <cp:lastModifiedBy>Tom Anschutz</cp:lastModifiedBy>
  <cp:lastPrinted>2022-01-09T17:18:30Z</cp:lastPrinted>
  <dcterms:created xsi:type="dcterms:W3CDTF">2007-11-28T04:59:55Z</dcterms:created>
  <dcterms:modified xsi:type="dcterms:W3CDTF">2023-01-04T22:38:10Z</dcterms:modified>
  <cp:category/>
</cp:coreProperties>
</file>