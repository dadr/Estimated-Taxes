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codeName="ThisWorkbook" autoCompressPictures="0"/>
  <bookViews>
    <workbookView xWindow="4800" yWindow="5340" windowWidth="49800" windowHeight="31760"/>
  </bookViews>
  <sheets>
    <sheet name="Overview" sheetId="7" r:id="rId1"/>
    <sheet name="Federal Income Tax" sheetId="6" r:id="rId2"/>
    <sheet name="GA State Income Tax" sheetId="1" r:id="rId3"/>
    <sheet name="Quarterly Income" sheetId="2" r:id="rId4"/>
    <sheet name="AMT" sheetId="5" r:id="rId5"/>
  </sheets>
  <definedNames>
    <definedName name="_xlnm.Print_Area" localSheetId="1">'Federal Income Tax'!$A$1:$J$91</definedName>
    <definedName name="_xlnm.Print_Area" localSheetId="2">'GA State Income Tax'!$A$1:$L$40</definedName>
    <definedName name="_xlnm.Print_Area" localSheetId="3">'Quarterly Income'!$A$1:$AW$100</definedName>
  </definedNames>
  <calcPr calcId="140001" concurrentCalc="0"/>
  <extLst>
    <ext xmlns:mx="http://schemas.microsoft.com/office/mac/excel/2008/main" uri="{7523E5D3-25F3-A5E0-1632-64F254C22452}">
      <mx:ArchID Flags="2"/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6" i="2" l="1"/>
  <c r="C38" i="2"/>
  <c r="C57" i="2"/>
  <c r="C72" i="2"/>
  <c r="C34" i="2"/>
  <c r="C53" i="2"/>
  <c r="C64" i="2"/>
  <c r="C26" i="2"/>
  <c r="C45" i="2"/>
  <c r="C63" i="2"/>
  <c r="C25" i="2"/>
  <c r="C44" i="2"/>
  <c r="C19" i="2"/>
  <c r="C15" i="2"/>
  <c r="C7" i="2"/>
  <c r="C6" i="2"/>
  <c r="R100" i="2"/>
  <c r="S100" i="2"/>
  <c r="R83" i="2"/>
  <c r="S83" i="2"/>
  <c r="T83" i="2"/>
  <c r="R84" i="2"/>
  <c r="S84" i="2"/>
  <c r="T84" i="2"/>
  <c r="R85" i="2"/>
  <c r="S85" i="2"/>
  <c r="T85" i="2"/>
  <c r="R86" i="2"/>
  <c r="S86" i="2"/>
  <c r="T86" i="2"/>
  <c r="R87" i="2"/>
  <c r="S87" i="2"/>
  <c r="T87" i="2"/>
  <c r="R88" i="2"/>
  <c r="S88" i="2"/>
  <c r="T88" i="2"/>
  <c r="R89" i="2"/>
  <c r="S89" i="2"/>
  <c r="T89" i="2"/>
  <c r="R90" i="2"/>
  <c r="S90" i="2"/>
  <c r="T90" i="2"/>
  <c r="R91" i="2"/>
  <c r="S91" i="2"/>
  <c r="T91" i="2"/>
  <c r="R92" i="2"/>
  <c r="S92" i="2"/>
  <c r="T92" i="2"/>
  <c r="R93" i="2"/>
  <c r="S93" i="2"/>
  <c r="T93" i="2"/>
  <c r="R94" i="2"/>
  <c r="S94" i="2"/>
  <c r="T94" i="2"/>
  <c r="R95" i="2"/>
  <c r="S95" i="2"/>
  <c r="T95" i="2"/>
  <c r="R96" i="2"/>
  <c r="S96" i="2"/>
  <c r="T96" i="2"/>
  <c r="T100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100" i="2"/>
  <c r="F64" i="2"/>
  <c r="B48" i="6"/>
  <c r="C9" i="2"/>
  <c r="C28" i="2"/>
  <c r="C47" i="2"/>
  <c r="C66" i="2"/>
  <c r="F66" i="2"/>
  <c r="B47" i="6"/>
  <c r="F63" i="2"/>
  <c r="B44" i="6"/>
  <c r="C10" i="2"/>
  <c r="C29" i="2"/>
  <c r="C48" i="2"/>
  <c r="C67" i="2"/>
  <c r="F67" i="2"/>
  <c r="B46" i="6"/>
  <c r="C8" i="2"/>
  <c r="C27" i="2"/>
  <c r="C46" i="2"/>
  <c r="C65" i="2"/>
  <c r="F65" i="2"/>
  <c r="B51" i="6"/>
  <c r="C11" i="2"/>
  <c r="C30" i="2"/>
  <c r="C49" i="2"/>
  <c r="C68" i="2"/>
  <c r="F68" i="2"/>
  <c r="C54" i="6"/>
  <c r="C55" i="6"/>
  <c r="C12" i="2"/>
  <c r="C31" i="2"/>
  <c r="C50" i="2"/>
  <c r="C69" i="2"/>
  <c r="F69" i="2"/>
  <c r="C58" i="6"/>
  <c r="C59" i="6"/>
  <c r="C63" i="6"/>
  <c r="B65" i="6"/>
  <c r="B12" i="6"/>
  <c r="B21" i="6"/>
  <c r="B22" i="6"/>
  <c r="C62" i="6"/>
  <c r="B11" i="6"/>
  <c r="B19" i="6"/>
  <c r="B23" i="6"/>
  <c r="B73" i="6"/>
  <c r="B25" i="6"/>
  <c r="B26" i="6"/>
  <c r="B22" i="1"/>
  <c r="B24" i="1"/>
  <c r="B23" i="1"/>
  <c r="B25" i="1"/>
  <c r="B26" i="1"/>
  <c r="B28" i="1"/>
  <c r="B29" i="1"/>
  <c r="B7" i="1"/>
  <c r="B12" i="1"/>
  <c r="B8" i="1"/>
  <c r="B13" i="1"/>
  <c r="B14" i="1"/>
  <c r="G28" i="1"/>
  <c r="G30" i="1"/>
  <c r="G31" i="1"/>
  <c r="G29" i="1"/>
  <c r="G27" i="1"/>
  <c r="J27" i="1"/>
  <c r="J28" i="1"/>
  <c r="J29" i="1"/>
  <c r="J30" i="1"/>
  <c r="J31" i="1"/>
  <c r="B16" i="1"/>
  <c r="B17" i="1"/>
  <c r="G48" i="6"/>
  <c r="G46" i="6"/>
  <c r="B28" i="6"/>
  <c r="B29" i="6"/>
  <c r="B49" i="6"/>
  <c r="B68" i="6"/>
  <c r="C61" i="6"/>
  <c r="B69" i="6"/>
  <c r="B76" i="6"/>
  <c r="J58" i="6"/>
  <c r="J59" i="6"/>
  <c r="J60" i="6"/>
  <c r="B32" i="6"/>
  <c r="B71" i="6"/>
  <c r="B79" i="6"/>
  <c r="B82" i="6"/>
  <c r="B4" i="5"/>
  <c r="B6" i="5"/>
  <c r="B15" i="5"/>
  <c r="B16" i="5"/>
  <c r="B18" i="5"/>
  <c r="B19" i="5"/>
  <c r="B21" i="5"/>
  <c r="F15" i="2"/>
  <c r="F34" i="2"/>
  <c r="F53" i="2"/>
  <c r="F72" i="2"/>
  <c r="F16" i="2"/>
  <c r="F35" i="2"/>
  <c r="F54" i="2"/>
  <c r="F73" i="2"/>
  <c r="B22" i="5"/>
  <c r="B25" i="5"/>
  <c r="B85" i="6"/>
  <c r="B87" i="6"/>
  <c r="G76" i="6"/>
  <c r="G3" i="6"/>
  <c r="B66" i="6"/>
  <c r="B90" i="6"/>
  <c r="B24" i="6"/>
  <c r="B31" i="6"/>
  <c r="B34" i="6"/>
  <c r="B37" i="6"/>
  <c r="B40" i="6"/>
  <c r="F74" i="2"/>
  <c r="B88" i="6"/>
  <c r="B91" i="6"/>
  <c r="B35" i="6"/>
  <c r="G77" i="6"/>
  <c r="P84" i="2"/>
  <c r="P85" i="2"/>
  <c r="P86" i="2"/>
  <c r="P87" i="2"/>
  <c r="P88" i="2"/>
  <c r="P89" i="2"/>
  <c r="P90" i="2"/>
  <c r="P91" i="2"/>
  <c r="P92" i="2"/>
  <c r="P83" i="2"/>
  <c r="P93" i="2"/>
  <c r="P94" i="2"/>
  <c r="P95" i="2"/>
  <c r="P96" i="2"/>
  <c r="P100" i="2"/>
  <c r="O84" i="2"/>
  <c r="O85" i="2"/>
  <c r="O86" i="2"/>
  <c r="O87" i="2"/>
  <c r="O88" i="2"/>
  <c r="O89" i="2"/>
  <c r="O90" i="2"/>
  <c r="O91" i="2"/>
  <c r="O92" i="2"/>
  <c r="O83" i="2"/>
  <c r="O93" i="2"/>
  <c r="O94" i="2"/>
  <c r="O95" i="2"/>
  <c r="O96" i="2"/>
  <c r="O100" i="2"/>
  <c r="N84" i="2"/>
  <c r="N85" i="2"/>
  <c r="N86" i="2"/>
  <c r="N87" i="2"/>
  <c r="N88" i="2"/>
  <c r="N89" i="2"/>
  <c r="N90" i="2"/>
  <c r="N91" i="2"/>
  <c r="N92" i="2"/>
  <c r="N83" i="2"/>
  <c r="N93" i="2"/>
  <c r="N94" i="2"/>
  <c r="N95" i="2"/>
  <c r="N96" i="2"/>
  <c r="N100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100" i="2"/>
  <c r="L84" i="2"/>
  <c r="L86" i="2"/>
  <c r="L87" i="2"/>
  <c r="L88" i="2"/>
  <c r="L89" i="2"/>
  <c r="L90" i="2"/>
  <c r="L91" i="2"/>
  <c r="L92" i="2"/>
  <c r="L83" i="2"/>
  <c r="L85" i="2"/>
  <c r="L93" i="2"/>
  <c r="L94" i="2"/>
  <c r="L95" i="2"/>
  <c r="L96" i="2"/>
  <c r="L100" i="2"/>
  <c r="K93" i="2"/>
  <c r="K94" i="2"/>
  <c r="K95" i="2"/>
  <c r="K96" i="2"/>
  <c r="V19" i="2"/>
  <c r="AG73" i="2"/>
  <c r="AR73" i="2"/>
  <c r="AG74" i="2"/>
  <c r="AR74" i="2"/>
  <c r="AG75" i="2"/>
  <c r="AR75" i="2"/>
  <c r="AG76" i="2"/>
  <c r="AR76" i="2"/>
  <c r="V73" i="2"/>
  <c r="V74" i="2"/>
  <c r="V75" i="2"/>
  <c r="V76" i="2"/>
  <c r="K73" i="2"/>
  <c r="K74" i="2"/>
  <c r="K75" i="2"/>
  <c r="K76" i="2"/>
  <c r="AG54" i="2"/>
  <c r="AG55" i="2"/>
  <c r="AG56" i="2"/>
  <c r="AG57" i="2"/>
  <c r="V54" i="2"/>
  <c r="V55" i="2"/>
  <c r="V56" i="2"/>
  <c r="V57" i="2"/>
  <c r="K54" i="2"/>
  <c r="K55" i="2"/>
  <c r="K56" i="2"/>
  <c r="K57" i="2"/>
  <c r="V35" i="2"/>
  <c r="V36" i="2"/>
  <c r="V37" i="2"/>
  <c r="V38" i="2"/>
  <c r="K35" i="2"/>
  <c r="K36" i="2"/>
  <c r="K37" i="2"/>
  <c r="K38" i="2"/>
  <c r="AG16" i="2"/>
  <c r="AG17" i="2"/>
  <c r="AG18" i="2"/>
  <c r="AG19" i="2"/>
  <c r="V16" i="2"/>
  <c r="V17" i="2"/>
  <c r="V18" i="2"/>
  <c r="K84" i="2"/>
  <c r="K85" i="2"/>
  <c r="K86" i="2"/>
  <c r="K87" i="2"/>
  <c r="K88" i="2"/>
  <c r="K89" i="2"/>
  <c r="K90" i="2"/>
  <c r="K91" i="2"/>
  <c r="K92" i="2"/>
  <c r="K83" i="2"/>
  <c r="AR64" i="2"/>
  <c r="AR65" i="2"/>
  <c r="AR66" i="2"/>
  <c r="AR67" i="2"/>
  <c r="AR68" i="2"/>
  <c r="AR69" i="2"/>
  <c r="AR70" i="2"/>
  <c r="AR71" i="2"/>
  <c r="AR72" i="2"/>
  <c r="AR63" i="2"/>
  <c r="AG64" i="2"/>
  <c r="AG65" i="2"/>
  <c r="AG66" i="2"/>
  <c r="AG67" i="2"/>
  <c r="AG68" i="2"/>
  <c r="AG69" i="2"/>
  <c r="AG70" i="2"/>
  <c r="AG71" i="2"/>
  <c r="AG72" i="2"/>
  <c r="AG63" i="2"/>
  <c r="V72" i="2"/>
  <c r="V64" i="2"/>
  <c r="V65" i="2"/>
  <c r="V66" i="2"/>
  <c r="V67" i="2"/>
  <c r="V68" i="2"/>
  <c r="V69" i="2"/>
  <c r="V70" i="2"/>
  <c r="V71" i="2"/>
  <c r="V63" i="2"/>
  <c r="K64" i="2"/>
  <c r="K65" i="2"/>
  <c r="K66" i="2"/>
  <c r="K67" i="2"/>
  <c r="K68" i="2"/>
  <c r="K69" i="2"/>
  <c r="K70" i="2"/>
  <c r="K71" i="2"/>
  <c r="K72" i="2"/>
  <c r="K63" i="2"/>
  <c r="AG45" i="2"/>
  <c r="AG46" i="2"/>
  <c r="AG47" i="2"/>
  <c r="AG48" i="2"/>
  <c r="AG49" i="2"/>
  <c r="AG50" i="2"/>
  <c r="AG51" i="2"/>
  <c r="AG52" i="2"/>
  <c r="AG53" i="2"/>
  <c r="AG44" i="2"/>
  <c r="V45" i="2"/>
  <c r="V46" i="2"/>
  <c r="V47" i="2"/>
  <c r="V48" i="2"/>
  <c r="V49" i="2"/>
  <c r="V50" i="2"/>
  <c r="V51" i="2"/>
  <c r="V52" i="2"/>
  <c r="V53" i="2"/>
  <c r="V44" i="2"/>
  <c r="K53" i="2"/>
  <c r="K45" i="2"/>
  <c r="K46" i="2"/>
  <c r="K47" i="2"/>
  <c r="K48" i="2"/>
  <c r="K49" i="2"/>
  <c r="K50" i="2"/>
  <c r="K51" i="2"/>
  <c r="K52" i="2"/>
  <c r="K44" i="2"/>
  <c r="V34" i="2"/>
  <c r="V26" i="2"/>
  <c r="V27" i="2"/>
  <c r="V28" i="2"/>
  <c r="V29" i="2"/>
  <c r="V30" i="2"/>
  <c r="V31" i="2"/>
  <c r="V32" i="2"/>
  <c r="V33" i="2"/>
  <c r="V25" i="2"/>
  <c r="K34" i="2"/>
  <c r="K26" i="2"/>
  <c r="K27" i="2"/>
  <c r="K28" i="2"/>
  <c r="K29" i="2"/>
  <c r="K30" i="2"/>
  <c r="K31" i="2"/>
  <c r="K32" i="2"/>
  <c r="K33" i="2"/>
  <c r="K25" i="2"/>
  <c r="AG7" i="2"/>
  <c r="AG8" i="2"/>
  <c r="AG9" i="2"/>
  <c r="AG10" i="2"/>
  <c r="AG11" i="2"/>
  <c r="AG12" i="2"/>
  <c r="AG13" i="2"/>
  <c r="AG14" i="2"/>
  <c r="AG15" i="2"/>
  <c r="AG6" i="2"/>
  <c r="V7" i="2"/>
  <c r="V8" i="2"/>
  <c r="V9" i="2"/>
  <c r="V10" i="2"/>
  <c r="V11" i="2"/>
  <c r="V12" i="2"/>
  <c r="V13" i="2"/>
  <c r="V14" i="2"/>
  <c r="V15" i="2"/>
  <c r="V6" i="2"/>
  <c r="G47" i="6"/>
  <c r="J46" i="6"/>
  <c r="J47" i="6"/>
  <c r="F81" i="2"/>
  <c r="G4" i="6"/>
  <c r="F19" i="2"/>
  <c r="F38" i="2"/>
  <c r="F57" i="2"/>
  <c r="F76" i="2"/>
  <c r="F20" i="2"/>
  <c r="F39" i="2"/>
  <c r="F58" i="2"/>
  <c r="F77" i="2"/>
  <c r="F78" i="2"/>
  <c r="B34" i="1"/>
  <c r="B21" i="7"/>
  <c r="B20" i="7"/>
  <c r="B19" i="7"/>
  <c r="B77" i="6"/>
  <c r="B10" i="6"/>
  <c r="B23" i="7"/>
  <c r="B38" i="6"/>
  <c r="B83" i="6"/>
  <c r="G4" i="1"/>
  <c r="B10" i="7"/>
  <c r="G60" i="6"/>
  <c r="G59" i="6"/>
  <c r="G49" i="6"/>
  <c r="G50" i="6"/>
  <c r="G51" i="6"/>
  <c r="J48" i="6"/>
  <c r="J49" i="6"/>
  <c r="J50" i="6"/>
  <c r="B33" i="1"/>
  <c r="J51" i="6"/>
  <c r="B37" i="1"/>
  <c r="B36" i="1"/>
  <c r="F48" i="2"/>
  <c r="F29" i="2"/>
  <c r="F10" i="2"/>
  <c r="B80" i="6"/>
  <c r="C13" i="2"/>
  <c r="C32" i="2"/>
  <c r="C51" i="2"/>
  <c r="C70" i="2"/>
  <c r="F49" i="2"/>
  <c r="F50" i="2"/>
  <c r="F31" i="2"/>
  <c r="F30" i="2"/>
  <c r="F12" i="2"/>
  <c r="F11" i="2"/>
  <c r="C78" i="2"/>
  <c r="C74" i="2"/>
  <c r="C59" i="2"/>
  <c r="C55" i="2"/>
  <c r="C40" i="2"/>
  <c r="C36" i="2"/>
  <c r="C21" i="2"/>
  <c r="C17" i="2"/>
  <c r="F47" i="2"/>
  <c r="F46" i="2"/>
  <c r="F45" i="2"/>
  <c r="F44" i="2"/>
  <c r="F28" i="2"/>
  <c r="F27" i="2"/>
  <c r="F26" i="2"/>
  <c r="F25" i="2"/>
  <c r="F9" i="2"/>
  <c r="F6" i="2"/>
  <c r="F8" i="2"/>
  <c r="F7" i="2"/>
  <c r="F17" i="2"/>
  <c r="F70" i="2"/>
  <c r="F36" i="2"/>
  <c r="F21" i="2"/>
  <c r="F13" i="2"/>
  <c r="F59" i="2"/>
  <c r="F40" i="2"/>
  <c r="F51" i="2"/>
  <c r="F32" i="2"/>
  <c r="F55" i="2"/>
  <c r="G3" i="1"/>
  <c r="B9" i="7"/>
  <c r="I4" i="1"/>
  <c r="D10" i="7"/>
  <c r="B24" i="5"/>
  <c r="F82" i="2"/>
  <c r="I3" i="1"/>
  <c r="D9" i="7"/>
  <c r="I3" i="6"/>
  <c r="I4" i="6"/>
  <c r="B5" i="7"/>
  <c r="B15" i="7"/>
  <c r="D5" i="7"/>
  <c r="D15" i="7"/>
  <c r="B4" i="7"/>
  <c r="B14" i="7"/>
  <c r="D4" i="7"/>
  <c r="D14" i="7"/>
</calcChain>
</file>

<file path=xl/sharedStrings.xml><?xml version="1.0" encoding="utf-8"?>
<sst xmlns="http://schemas.openxmlformats.org/spreadsheetml/2006/main" count="435" uniqueCount="200">
  <si>
    <t>Net Realized Capital Gains</t>
  </si>
  <si>
    <t>Long-term capital loss carryforward</t>
  </si>
  <si>
    <t>Short-term capital loss carryforward</t>
  </si>
  <si>
    <t>Realized long term capital gains</t>
  </si>
  <si>
    <t>Realized short term capital gains</t>
  </si>
  <si>
    <t>Estimated State Tax to be Paid</t>
  </si>
  <si>
    <t>Dividends</t>
  </si>
  <si>
    <t>Interest</t>
  </si>
  <si>
    <t>Quarterly Total:</t>
  </si>
  <si>
    <t>Federal Tax Withheld</t>
  </si>
  <si>
    <t>State Tax Withheld</t>
  </si>
  <si>
    <t>Federal Est. Tax Paid</t>
  </si>
  <si>
    <t>State Est. Tax Paid</t>
  </si>
  <si>
    <t>Running Sum</t>
  </si>
  <si>
    <t>Quarterly</t>
  </si>
  <si>
    <t>Income Source</t>
  </si>
  <si>
    <t>Wages/Salaries</t>
  </si>
  <si>
    <t>Short Term Capital Gains</t>
  </si>
  <si>
    <t>AMT Estimator</t>
  </si>
  <si>
    <t>AMT Exemption Phaseout Start</t>
  </si>
  <si>
    <t>AMT Exemption</t>
  </si>
  <si>
    <t>Reduced AMT Exemption</t>
  </si>
  <si>
    <t>Adjusted AMT Income</t>
  </si>
  <si>
    <t>Dividends and Long Term Cap Gains</t>
  </si>
  <si>
    <t>AMT Income Taxed at AMT Rate</t>
  </si>
  <si>
    <t>AMT Tax</t>
  </si>
  <si>
    <t>Long Term Capital Gains</t>
  </si>
  <si>
    <t>Taxable Income By Quarter</t>
  </si>
  <si>
    <t>AMT Tax Rate 1</t>
  </si>
  <si>
    <t>AMT Tax Rate 2</t>
  </si>
  <si>
    <t>IRA's are deducted from taxable income reported on W-2. 401(k)'s are already deducted from W-2 income</t>
  </si>
  <si>
    <t>AMT Income Minus Dividends and Cap Gains</t>
  </si>
  <si>
    <t>This will be somewhere between 26% and 28%</t>
  </si>
  <si>
    <t>AMT Blended Tax Rate</t>
  </si>
  <si>
    <t>Adjusted Total Income</t>
  </si>
  <si>
    <t>IRA Contribution and Other Adjustments</t>
  </si>
  <si>
    <t>Net Realized Short Term Cap. Gains</t>
  </si>
  <si>
    <t>Treasury Interest</t>
  </si>
  <si>
    <t>AMT taxes ordinary income only, so this is to reduce total income back to ordinary income only</t>
  </si>
  <si>
    <t>AMT reduced by any income over the exemption phaseout start amount</t>
  </si>
  <si>
    <t>Adjusted Total Income minus AMT exemption</t>
  </si>
  <si>
    <t>Federal Income Tax Already Paid</t>
  </si>
  <si>
    <t>AMT tax rate is 26% or 28%. AMT income that's over the 28% threshold is taxed at the 28% rate</t>
  </si>
  <si>
    <t>State Deduction</t>
  </si>
  <si>
    <t>Wages, Salaries, Tips, etc.</t>
  </si>
  <si>
    <t>Adjusted Gross Income</t>
  </si>
  <si>
    <t>Qualified Dividends</t>
  </si>
  <si>
    <t>Net Realized long term capital gains</t>
  </si>
  <si>
    <t>Taxable Income</t>
  </si>
  <si>
    <t>https://smartasset.com/taxes/income-taxes</t>
  </si>
  <si>
    <t>Total Ordinary Income</t>
  </si>
  <si>
    <t>Business &amp; Other Income</t>
  </si>
  <si>
    <t>Tax Bracket</t>
  </si>
  <si>
    <t>Floor</t>
  </si>
  <si>
    <t>Income Year-to-Date</t>
  </si>
  <si>
    <t>Taxable Ordinary Income</t>
  </si>
  <si>
    <t>Estimated Tax on Ordinary Income</t>
  </si>
  <si>
    <t>Ordinary Income Tax Brackets</t>
  </si>
  <si>
    <t>Federal Income Tax Estimator</t>
  </si>
  <si>
    <t>replace yellow cells with data from appropriate year/bracket</t>
  </si>
  <si>
    <t>Tax Year-to-Date</t>
  </si>
  <si>
    <t>Estimated Qualified Dividends</t>
  </si>
  <si>
    <t>Estimated Tax on Income</t>
  </si>
  <si>
    <t>Long Term Capital Gain Tax Brackets</t>
  </si>
  <si>
    <t>Estimated Taxable Income</t>
  </si>
  <si>
    <t>Estimated Taxable Ordinary Income</t>
  </si>
  <si>
    <t>Estimated Taxable Dividends and Long Term Capital Gains</t>
  </si>
  <si>
    <t>Estimated Long Term Capital Gains Effective Tax Rate</t>
  </si>
  <si>
    <t>Estimated Ordinary Income Effective Tax Rate</t>
  </si>
  <si>
    <t>Ordinary Income Tax</t>
  </si>
  <si>
    <t>Long Term Capital Gains Tax</t>
  </si>
  <si>
    <t>Total Tax Owed</t>
  </si>
  <si>
    <t>Effective Tax Rate</t>
  </si>
  <si>
    <t>Tax to be Paid</t>
  </si>
  <si>
    <t>Net Investment Income</t>
  </si>
  <si>
    <t>Net Investment Income Tax</t>
  </si>
  <si>
    <t>$200,000 for single filers, $250,000 for married couples</t>
  </si>
  <si>
    <t>Net Investment Income Tax Rate</t>
  </si>
  <si>
    <t>Standard Deduction or Itemized Deduction Amount</t>
  </si>
  <si>
    <t>Estimated Net Long Term Capital Gains</t>
  </si>
  <si>
    <t>Federal Effective Tax Rate</t>
  </si>
  <si>
    <t>State Effective Tax Rate</t>
  </si>
  <si>
    <t>Taxable Inc. Min</t>
  </si>
  <si>
    <t>Taxable Inc. Max</t>
  </si>
  <si>
    <t>Income per Bracket</t>
  </si>
  <si>
    <t>Ordinary Income Threshold for Net Investment Income Tax</t>
  </si>
  <si>
    <t>https://smartasset.com/investing/capital-gains-tax-calculator</t>
  </si>
  <si>
    <t>State Tax Owed</t>
  </si>
  <si>
    <t>State Adjusted Gross Income</t>
  </si>
  <si>
    <t>State Taxable Income</t>
  </si>
  <si>
    <t>State Tax Paid</t>
  </si>
  <si>
    <t>Tax Paid</t>
  </si>
  <si>
    <t>Estimated Effective Tax Rate</t>
  </si>
  <si>
    <t>Estimated Tax on Long Term Capital Gains and Dividends</t>
  </si>
  <si>
    <t>Estimated Tax on Net Investment Income</t>
  </si>
  <si>
    <t>Estimated Net Investment Income Effective Tax Rate</t>
  </si>
  <si>
    <t>Estimated Net Investment Income</t>
  </si>
  <si>
    <t>Ordinary Income Tax Effective Rate</t>
  </si>
  <si>
    <t>Long Term Capital Gains Tax Effective Rate</t>
  </si>
  <si>
    <t>Net Short Term Capital Gains</t>
  </si>
  <si>
    <t>Federal Tax</t>
  </si>
  <si>
    <t>State Tax</t>
  </si>
  <si>
    <t>Total Tax</t>
  </si>
  <si>
    <t>Capital Gains/Losses</t>
  </si>
  <si>
    <t>Total Net Investment Income</t>
  </si>
  <si>
    <t>Estimated Interest</t>
  </si>
  <si>
    <t>Net Long Term Capital Gains</t>
  </si>
  <si>
    <t>Taxable Short Term Capital Gains</t>
  </si>
  <si>
    <t>Taxable Dividends and Net Long Term Capital Gains</t>
  </si>
  <si>
    <t>Estimated Wage Income</t>
  </si>
  <si>
    <t>Estimated Net Short Term Capital Gains</t>
  </si>
  <si>
    <t>Estimated Net Realized Gains</t>
  </si>
  <si>
    <t>Estimated Qualifed Dividends and Net Long Term Capital Gains</t>
  </si>
  <si>
    <t>Personal Exemption</t>
  </si>
  <si>
    <t>GA State Income Tax Estimator</t>
  </si>
  <si>
    <t>T-Interest</t>
  </si>
  <si>
    <t>ST Cap G</t>
  </si>
  <si>
    <t>LT Cap G</t>
  </si>
  <si>
    <t>Institution</t>
  </si>
  <si>
    <t xml:space="preserve">Since capital gains likely are lumpy and difficult to estimate, </t>
  </si>
  <si>
    <t>I am using the actual cap gains incurred. Override if you want to estimate</t>
  </si>
  <si>
    <t>JAN</t>
  </si>
  <si>
    <t>FEB</t>
  </si>
  <si>
    <t>APR</t>
  </si>
  <si>
    <t>MAY</t>
  </si>
  <si>
    <t>MAR</t>
  </si>
  <si>
    <t>JUN</t>
  </si>
  <si>
    <t>JUL</t>
  </si>
  <si>
    <t>AUG</t>
  </si>
  <si>
    <t>SEP</t>
  </si>
  <si>
    <t>OCT</t>
  </si>
  <si>
    <t>NOV</t>
  </si>
  <si>
    <t>DEC</t>
  </si>
  <si>
    <t>Estimated Georgia State Tax Rate</t>
  </si>
  <si>
    <t>Grand Totals</t>
  </si>
  <si>
    <t>AMT Tax Rate 2 Threshhold (AMTI)</t>
  </si>
  <si>
    <t>Conf. #:</t>
  </si>
  <si>
    <t>2022 Married Filing Jointly Brackets</t>
  </si>
  <si>
    <t>Edit the Institutions above for your set of accounts</t>
  </si>
  <si>
    <t>Includes Dec interest paid in Jan</t>
  </si>
  <si>
    <t>Estimated Adjusted Gross Income (or actual AGI if greater)</t>
  </si>
  <si>
    <t>Optionally highlight the cells where you expect inputs</t>
  </si>
  <si>
    <t>Total / Year-to-Date  (useful to check against YTD numbers on statements)</t>
  </si>
  <si>
    <t>Brokerage 1</t>
  </si>
  <si>
    <t>Brokerage 2</t>
  </si>
  <si>
    <t>401K</t>
  </si>
  <si>
    <t>IRA</t>
  </si>
  <si>
    <t>Mutual Fund 1</t>
  </si>
  <si>
    <t>Mut Fund 2</t>
  </si>
  <si>
    <t>Bank 1</t>
  </si>
  <si>
    <t>Credit Union</t>
  </si>
  <si>
    <t>Credit Card</t>
  </si>
  <si>
    <t>Grants</t>
  </si>
  <si>
    <t>Options</t>
  </si>
  <si>
    <t>2023 numbers. This needs to be updated every year</t>
  </si>
  <si>
    <t>Source: taxfoundation.org</t>
  </si>
  <si>
    <t>2023 - Update yearly</t>
  </si>
  <si>
    <t>Self Employment Tax</t>
  </si>
  <si>
    <t>SS Limit</t>
  </si>
  <si>
    <t>SS Rate</t>
  </si>
  <si>
    <t>Medicare Rate</t>
  </si>
  <si>
    <t>Business &amp; Other Income (Self Employment Taxed)</t>
  </si>
  <si>
    <t>Income Tax Year-To-Date</t>
  </si>
  <si>
    <t>Self-Employment Tax Year-To-Date</t>
  </si>
  <si>
    <t>Self-Employment Tax</t>
  </si>
  <si>
    <t>Self-Employment Tax Rate</t>
  </si>
  <si>
    <t>Estimated Self-Employment Income</t>
  </si>
  <si>
    <t>Estimated SS and Medicare Tax on Self-Employment Income</t>
  </si>
  <si>
    <t>Estimated Net Self-Employment Effective Tax Rate</t>
  </si>
  <si>
    <t>Estimated Self-Employment Taxable Income (or actual if greater)</t>
  </si>
  <si>
    <t>Total Income Tax Owed</t>
  </si>
  <si>
    <t>Q1: 1/1/2023 to 3/31/2023</t>
  </si>
  <si>
    <t>Q2: 4/1/2023 to 5/31/2023</t>
  </si>
  <si>
    <t>Q3: 6/1/2023 to 8/31/2023</t>
  </si>
  <si>
    <t>Q4: 9/1/2023 to 12/31/2023</t>
  </si>
  <si>
    <t>Refund from 2022?</t>
  </si>
  <si>
    <t>Tax Due 4/18/2023</t>
  </si>
  <si>
    <t>Tax Due 6/15/2023</t>
  </si>
  <si>
    <t>Tax Due 9/15/2023</t>
  </si>
  <si>
    <t>Tax Due 1/15/2024</t>
  </si>
  <si>
    <t>https://www.halfpricesoft.com/2023/taxrate-Georgia-2023.asp</t>
  </si>
  <si>
    <t>2023 Married Filing Jointly Brackets</t>
  </si>
  <si>
    <t>2023 - Update Yearly - RECHECK THIS when GA publishes!</t>
  </si>
  <si>
    <t>Retirement Income Exclusion (35K @ 62 or 65K @ 65 - per spouse)</t>
  </si>
  <si>
    <t>(Not for part-time residents, assumes all income is in Georgia)</t>
  </si>
  <si>
    <t>(Does not handle Social Security - which is not taxed by GA)</t>
  </si>
  <si>
    <t>Estimated Earned Income</t>
  </si>
  <si>
    <t>Total Taxable Income</t>
  </si>
  <si>
    <t>Taxable Earned Income Exclusion</t>
  </si>
  <si>
    <t>Taxable Investment Income Exclusion</t>
  </si>
  <si>
    <t>Earned Income</t>
  </si>
  <si>
    <t>Interest Income</t>
  </si>
  <si>
    <t>Earned Income Exclusion</t>
  </si>
  <si>
    <t>Investment Income Exclusion</t>
  </si>
  <si>
    <t>W2 Wages</t>
  </si>
  <si>
    <t>B&amp;O Income</t>
  </si>
  <si>
    <t>Job</t>
  </si>
  <si>
    <t>Contract Job</t>
  </si>
  <si>
    <t>W2 Fed Tax</t>
  </si>
  <si>
    <t>W2 ST Tax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</si>
</sst>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6" formatCode="&quot;$&quot;#,##0_);[Red]\(&quot;$&quot;#,##0\)"/>
    <numFmt numFmtId="8" formatCode="&quot;$&quot;#,##0.00_);[Red]\(&quot;$&quot;#,##0.00\)"/>
    <numFmt numFmtId="164" formatCode="0.0%"/>
    <numFmt numFmtId="165" formatCode="&quot;$&quot;#,##0.00"/>
    <numFmt numFmtId="166" formatCode="&quot;$&quot;#,##0;[Red]&quot;$&quot;#,##0"/>
    <numFmt numFmtId="167" formatCode="&quot;$&quot;#,##0.00;[Red]&quot;$&quot;#,##0.00"/>
    <numFmt numFmtId="168" formatCode="&quot;$&quot;#,##0"/>
    <numFmt numFmtId="169" formatCode="_-&quot;$&quot;* #,##0.00_-;\-&quot;$&quot;* #,##0.00_-;_-&quot;$&quot;* &quot;-&quot;??_-;_-@_-"/>
    <numFmt numFmtId="170" formatCode="General;;"/>
  </numFmts>
  <fonts count="16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sz val="12"/>
      <name val="Arial"/>
      <family val="2"/>
    </font>
    <font>
      <sz val="10"/>
      <color rgb="FF333333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4"/>
      <name val="Arial"/>
    </font>
    <font>
      <sz val="10"/>
      <name val="HelveticaNeue"/>
    </font>
    <font>
      <sz val="10"/>
      <name val="Helvetica"/>
    </font>
    <font>
      <sz val="12"/>
      <name val="Arial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</borders>
  <cellStyleXfs count="85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" fillId="0" borderId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73">
    <xf numFmtId="0" fontId="0" fillId="0" borderId="0" xfId="0"/>
    <xf numFmtId="0" fontId="2" fillId="0" borderId="0" xfId="0" applyFont="1"/>
    <xf numFmtId="8" fontId="0" fillId="0" borderId="0" xfId="0" applyNumberFormat="1"/>
    <xf numFmtId="0" fontId="0" fillId="0" borderId="0" xfId="0" applyFont="1" applyFill="1" applyBorder="1"/>
    <xf numFmtId="8" fontId="0" fillId="0" borderId="0" xfId="0" applyNumberFormat="1" applyFill="1"/>
    <xf numFmtId="0" fontId="0" fillId="0" borderId="0" xfId="0" applyFill="1"/>
    <xf numFmtId="0" fontId="2" fillId="0" borderId="0" xfId="0" applyFont="1" applyFill="1"/>
    <xf numFmtId="0" fontId="3" fillId="0" borderId="0" xfId="0" applyFont="1"/>
    <xf numFmtId="0" fontId="3" fillId="0" borderId="0" xfId="0" applyFont="1" applyFill="1" applyBorder="1"/>
    <xf numFmtId="0" fontId="3" fillId="5" borderId="1" xfId="0" applyFont="1" applyFill="1" applyBorder="1"/>
    <xf numFmtId="0" fontId="0" fillId="5" borderId="1" xfId="0" applyFill="1" applyBorder="1"/>
    <xf numFmtId="0" fontId="0" fillId="5" borderId="0" xfId="0" applyFill="1"/>
    <xf numFmtId="8" fontId="0" fillId="5" borderId="0" xfId="0" applyNumberFormat="1" applyFill="1"/>
    <xf numFmtId="8" fontId="0" fillId="5" borderId="1" xfId="0" applyNumberFormat="1" applyFill="1" applyBorder="1"/>
    <xf numFmtId="0" fontId="0" fillId="5" borderId="0" xfId="0" applyFont="1" applyFill="1" applyBorder="1"/>
    <xf numFmtId="0" fontId="2" fillId="5" borderId="0" xfId="0" applyFont="1" applyFill="1"/>
    <xf numFmtId="0" fontId="2" fillId="5" borderId="1" xfId="0" applyFont="1" applyFill="1" applyBorder="1"/>
    <xf numFmtId="0" fontId="2" fillId="5" borderId="0" xfId="0" applyFont="1" applyFill="1" applyBorder="1"/>
    <xf numFmtId="0" fontId="0" fillId="5" borderId="1" xfId="0" applyFont="1" applyFill="1" applyBorder="1"/>
    <xf numFmtId="0" fontId="3" fillId="5" borderId="0" xfId="0" applyFont="1" applyFill="1" applyBorder="1" applyAlignment="1">
      <alignment horizontal="right"/>
    </xf>
    <xf numFmtId="8" fontId="0" fillId="3" borderId="2" xfId="0" applyNumberFormat="1" applyFill="1" applyBorder="1"/>
    <xf numFmtId="8" fontId="0" fillId="2" borderId="2" xfId="0" applyNumberFormat="1" applyFill="1" applyBorder="1"/>
    <xf numFmtId="0" fontId="4" fillId="0" borderId="0" xfId="0" applyFont="1"/>
    <xf numFmtId="0" fontId="7" fillId="0" borderId="0" xfId="0" applyFont="1"/>
    <xf numFmtId="8" fontId="0" fillId="3" borderId="2" xfId="0" applyNumberFormat="1" applyFont="1" applyFill="1" applyBorder="1"/>
    <xf numFmtId="166" fontId="0" fillId="3" borderId="2" xfId="0" applyNumberFormat="1" applyFill="1" applyBorder="1"/>
    <xf numFmtId="166" fontId="0" fillId="2" borderId="2" xfId="0" applyNumberFormat="1" applyFill="1" applyBorder="1"/>
    <xf numFmtId="10" fontId="0" fillId="2" borderId="2" xfId="0" applyNumberFormat="1" applyFill="1" applyBorder="1"/>
    <xf numFmtId="167" fontId="0" fillId="3" borderId="2" xfId="0" applyNumberFormat="1" applyFill="1" applyBorder="1"/>
    <xf numFmtId="0" fontId="0" fillId="0" borderId="0" xfId="0" applyAlignment="1">
      <alignment horizontal="left"/>
    </xf>
    <xf numFmtId="168" fontId="0" fillId="2" borderId="2" xfId="0" applyNumberFormat="1" applyFill="1" applyBorder="1"/>
    <xf numFmtId="165" fontId="0" fillId="3" borderId="2" xfId="0" applyNumberFormat="1" applyFill="1" applyBorder="1"/>
    <xf numFmtId="10" fontId="0" fillId="3" borderId="2" xfId="0" applyNumberFormat="1" applyFill="1" applyBorder="1"/>
    <xf numFmtId="0" fontId="8" fillId="0" borderId="0" xfId="0" applyFont="1"/>
    <xf numFmtId="166" fontId="0" fillId="2" borderId="3" xfId="0" applyNumberFormat="1" applyFill="1" applyBorder="1"/>
    <xf numFmtId="10" fontId="0" fillId="2" borderId="5" xfId="0" applyNumberFormat="1" applyFill="1" applyBorder="1"/>
    <xf numFmtId="0" fontId="9" fillId="0" borderId="0" xfId="0" applyFont="1"/>
    <xf numFmtId="1" fontId="8" fillId="0" borderId="0" xfId="0" applyNumberFormat="1" applyFont="1"/>
    <xf numFmtId="168" fontId="0" fillId="2" borderId="2" xfId="0" applyNumberFormat="1" applyFont="1" applyFill="1" applyBorder="1"/>
    <xf numFmtId="0" fontId="0" fillId="4" borderId="0" xfId="0" applyFont="1" applyFill="1"/>
    <xf numFmtId="0" fontId="0" fillId="4" borderId="0" xfId="0" applyFont="1" applyFill="1" applyAlignment="1">
      <alignment horizontal="center"/>
    </xf>
    <xf numFmtId="0" fontId="3" fillId="4" borderId="0" xfId="0" applyFont="1" applyFill="1"/>
    <xf numFmtId="8" fontId="0" fillId="4" borderId="0" xfId="0" applyNumberFormat="1" applyFont="1" applyFill="1"/>
    <xf numFmtId="0" fontId="4" fillId="4" borderId="0" xfId="0" applyFont="1" applyFill="1"/>
    <xf numFmtId="0" fontId="2" fillId="4" borderId="0" xfId="0" applyFont="1" applyFill="1" applyBorder="1"/>
    <xf numFmtId="0" fontId="0" fillId="4" borderId="0" xfId="0" applyFont="1" applyFill="1" applyBorder="1"/>
    <xf numFmtId="0" fontId="2" fillId="4" borderId="0" xfId="0" applyFont="1" applyFill="1"/>
    <xf numFmtId="164" fontId="0" fillId="4" borderId="0" xfId="0" applyNumberFormat="1" applyFont="1" applyFill="1" applyBorder="1"/>
    <xf numFmtId="164" fontId="7" fillId="4" borderId="0" xfId="0" applyNumberFormat="1" applyFont="1" applyFill="1" applyBorder="1"/>
    <xf numFmtId="0" fontId="7" fillId="4" borderId="0" xfId="0" applyFont="1" applyFill="1"/>
    <xf numFmtId="8" fontId="4" fillId="4" borderId="0" xfId="0" applyNumberFormat="1" applyFont="1" applyFill="1"/>
    <xf numFmtId="165" fontId="0" fillId="4" borderId="0" xfId="0" applyNumberFormat="1" applyFont="1" applyFill="1"/>
    <xf numFmtId="46" fontId="4" fillId="4" borderId="0" xfId="0" applyNumberFormat="1" applyFont="1" applyFill="1"/>
    <xf numFmtId="0" fontId="0" fillId="4" borderId="0" xfId="0" applyFill="1"/>
    <xf numFmtId="167" fontId="0" fillId="4" borderId="0" xfId="0" applyNumberFormat="1" applyFill="1"/>
    <xf numFmtId="167" fontId="0" fillId="4" borderId="0" xfId="0" applyNumberFormat="1" applyFill="1" applyBorder="1"/>
    <xf numFmtId="166" fontId="0" fillId="4" borderId="0" xfId="0" applyNumberFormat="1" applyFill="1" applyBorder="1"/>
    <xf numFmtId="166" fontId="0" fillId="4" borderId="0" xfId="0" applyNumberFormat="1" applyFill="1"/>
    <xf numFmtId="168" fontId="0" fillId="3" borderId="2" xfId="0" applyNumberFormat="1" applyFont="1" applyFill="1" applyBorder="1"/>
    <xf numFmtId="165" fontId="4" fillId="4" borderId="0" xfId="0" applyNumberFormat="1" applyFont="1" applyFill="1"/>
    <xf numFmtId="8" fontId="2" fillId="3" borderId="2" xfId="0" applyNumberFormat="1" applyFont="1" applyFill="1" applyBorder="1"/>
    <xf numFmtId="165" fontId="2" fillId="3" borderId="3" xfId="0" applyNumberFormat="1" applyFont="1" applyFill="1" applyBorder="1"/>
    <xf numFmtId="0" fontId="5" fillId="0" borderId="0" xfId="45"/>
    <xf numFmtId="164" fontId="0" fillId="3" borderId="2" xfId="0" applyNumberFormat="1" applyFill="1" applyBorder="1"/>
    <xf numFmtId="165" fontId="0" fillId="4" borderId="0" xfId="0" applyNumberFormat="1" applyFill="1"/>
    <xf numFmtId="8" fontId="0" fillId="4" borderId="0" xfId="0" applyNumberFormat="1" applyFill="1"/>
    <xf numFmtId="164" fontId="0" fillId="4" borderId="0" xfId="0" applyNumberFormat="1" applyFill="1"/>
    <xf numFmtId="10" fontId="0" fillId="4" borderId="0" xfId="0" applyNumberFormat="1" applyFont="1" applyFill="1"/>
    <xf numFmtId="168" fontId="0" fillId="4" borderId="0" xfId="0" applyNumberFormat="1" applyFont="1" applyFill="1"/>
    <xf numFmtId="168" fontId="2" fillId="3" borderId="2" xfId="0" applyNumberFormat="1" applyFont="1" applyFill="1" applyBorder="1"/>
    <xf numFmtId="164" fontId="3" fillId="3" borderId="2" xfId="0" applyNumberFormat="1" applyFont="1" applyFill="1" applyBorder="1"/>
    <xf numFmtId="10" fontId="3" fillId="3" borderId="2" xfId="0" applyNumberFormat="1" applyFont="1" applyFill="1" applyBorder="1"/>
    <xf numFmtId="8" fontId="3" fillId="3" borderId="2" xfId="0" applyNumberFormat="1" applyFont="1" applyFill="1" applyBorder="1"/>
    <xf numFmtId="168" fontId="2" fillId="2" borderId="2" xfId="0" applyNumberFormat="1" applyFont="1" applyFill="1" applyBorder="1"/>
    <xf numFmtId="168" fontId="10" fillId="3" borderId="2" xfId="0" applyNumberFormat="1" applyFont="1" applyFill="1" applyBorder="1" applyAlignment="1">
      <alignment vertical="center"/>
    </xf>
    <xf numFmtId="164" fontId="10" fillId="2" borderId="2" xfId="0" applyNumberFormat="1" applyFont="1" applyFill="1" applyBorder="1" applyAlignment="1">
      <alignment vertical="center"/>
    </xf>
    <xf numFmtId="168" fontId="10" fillId="2" borderId="4" xfId="0" applyNumberFormat="1" applyFont="1" applyFill="1" applyBorder="1" applyAlignment="1">
      <alignment vertical="center"/>
    </xf>
    <xf numFmtId="168" fontId="10" fillId="2" borderId="2" xfId="0" applyNumberFormat="1" applyFont="1" applyFill="1" applyBorder="1" applyAlignment="1">
      <alignment vertical="center"/>
    </xf>
    <xf numFmtId="6" fontId="11" fillId="4" borderId="0" xfId="0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10" fontId="2" fillId="2" borderId="2" xfId="0" applyNumberFormat="1" applyFont="1" applyFill="1" applyBorder="1"/>
    <xf numFmtId="169" fontId="10" fillId="3" borderId="2" xfId="0" applyNumberFormat="1" applyFont="1" applyFill="1" applyBorder="1" applyAlignment="1">
      <alignment vertical="center"/>
    </xf>
    <xf numFmtId="0" fontId="7" fillId="0" borderId="0" xfId="46" applyFont="1"/>
    <xf numFmtId="0" fontId="2" fillId="0" borderId="0" xfId="46"/>
    <xf numFmtId="165" fontId="2" fillId="6" borderId="2" xfId="46" applyNumberFormat="1" applyFill="1" applyBorder="1"/>
    <xf numFmtId="164" fontId="3" fillId="6" borderId="2" xfId="46" applyNumberFormat="1" applyFont="1" applyFill="1" applyBorder="1"/>
    <xf numFmtId="0" fontId="3" fillId="7" borderId="0" xfId="46" applyFont="1" applyFill="1"/>
    <xf numFmtId="8" fontId="2" fillId="6" borderId="4" xfId="46" applyNumberFormat="1" applyFill="1" applyBorder="1"/>
    <xf numFmtId="8" fontId="3" fillId="6" borderId="4" xfId="46" applyNumberFormat="1" applyFont="1" applyFill="1" applyBorder="1"/>
    <xf numFmtId="8" fontId="2" fillId="3" borderId="2" xfId="46" applyNumberFormat="1" applyFill="1" applyBorder="1"/>
    <xf numFmtId="8" fontId="0" fillId="3" borderId="3" xfId="0" applyNumberFormat="1" applyFill="1" applyBorder="1"/>
    <xf numFmtId="168" fontId="0" fillId="4" borderId="0" xfId="0" applyNumberFormat="1" applyFill="1"/>
    <xf numFmtId="164" fontId="7" fillId="4" borderId="0" xfId="0" applyNumberFormat="1" applyFont="1" applyFill="1"/>
    <xf numFmtId="8" fontId="7" fillId="4" borderId="0" xfId="0" applyNumberFormat="1" applyFont="1" applyFill="1"/>
    <xf numFmtId="168" fontId="10" fillId="0" borderId="0" xfId="0" applyNumberFormat="1" applyFont="1" applyFill="1" applyBorder="1" applyAlignment="1">
      <alignment vertical="center"/>
    </xf>
    <xf numFmtId="164" fontId="10" fillId="0" borderId="0" xfId="0" applyNumberFormat="1" applyFont="1" applyFill="1" applyBorder="1" applyAlignment="1">
      <alignment vertical="center"/>
    </xf>
    <xf numFmtId="169" fontId="10" fillId="0" borderId="0" xfId="0" applyNumberFormat="1" applyFont="1" applyFill="1" applyBorder="1" applyAlignment="1">
      <alignment vertical="center"/>
    </xf>
    <xf numFmtId="168" fontId="10" fillId="3" borderId="3" xfId="0" applyNumberFormat="1" applyFont="1" applyFill="1" applyBorder="1" applyAlignment="1">
      <alignment vertical="center"/>
    </xf>
    <xf numFmtId="168" fontId="10" fillId="2" borderId="3" xfId="0" applyNumberFormat="1" applyFont="1" applyFill="1" applyBorder="1" applyAlignment="1">
      <alignment vertical="center"/>
    </xf>
    <xf numFmtId="169" fontId="10" fillId="3" borderId="3" xfId="0" applyNumberFormat="1" applyFont="1" applyFill="1" applyBorder="1" applyAlignment="1">
      <alignment vertical="center"/>
    </xf>
    <xf numFmtId="168" fontId="10" fillId="0" borderId="6" xfId="0" applyNumberFormat="1" applyFont="1" applyFill="1" applyBorder="1" applyAlignment="1">
      <alignment vertical="center"/>
    </xf>
    <xf numFmtId="164" fontId="10" fillId="0" borderId="6" xfId="0" applyNumberFormat="1" applyFont="1" applyFill="1" applyBorder="1" applyAlignment="1">
      <alignment vertical="center"/>
    </xf>
    <xf numFmtId="169" fontId="10" fillId="0" borderId="6" xfId="0" applyNumberFormat="1" applyFont="1" applyFill="1" applyBorder="1" applyAlignment="1">
      <alignment vertical="center"/>
    </xf>
    <xf numFmtId="165" fontId="0" fillId="2" borderId="2" xfId="0" applyNumberFormat="1" applyFill="1" applyBorder="1"/>
    <xf numFmtId="165" fontId="0" fillId="8" borderId="2" xfId="0" applyNumberFormat="1" applyFill="1" applyBorder="1"/>
    <xf numFmtId="165" fontId="0" fillId="4" borderId="2" xfId="0" applyNumberFormat="1" applyFill="1" applyBorder="1"/>
    <xf numFmtId="165" fontId="0" fillId="6" borderId="2" xfId="0" applyNumberFormat="1" applyFill="1" applyBorder="1"/>
    <xf numFmtId="0" fontId="0" fillId="0" borderId="0" xfId="0" applyNumberFormat="1"/>
    <xf numFmtId="0" fontId="0" fillId="4" borderId="6" xfId="0" applyFont="1" applyFill="1" applyBorder="1"/>
    <xf numFmtId="0" fontId="12" fillId="4" borderId="0" xfId="0" applyFont="1" applyFill="1"/>
    <xf numFmtId="0" fontId="0" fillId="0" borderId="0" xfId="0" applyFont="1"/>
    <xf numFmtId="0" fontId="0" fillId="0" borderId="2" xfId="0" applyBorder="1"/>
    <xf numFmtId="0" fontId="13" fillId="0" borderId="2" xfId="0" applyFont="1" applyBorder="1"/>
    <xf numFmtId="0" fontId="14" fillId="0" borderId="2" xfId="0" applyFont="1" applyBorder="1"/>
    <xf numFmtId="0" fontId="0" fillId="9" borderId="0" xfId="0" applyFill="1"/>
    <xf numFmtId="165" fontId="0" fillId="0" borderId="2" xfId="0" applyNumberFormat="1" applyFill="1" applyBorder="1"/>
    <xf numFmtId="165" fontId="0" fillId="9" borderId="2" xfId="0" applyNumberFormat="1" applyFill="1" applyBorder="1"/>
    <xf numFmtId="165" fontId="0" fillId="0" borderId="0" xfId="0" applyNumberFormat="1" applyFill="1" applyBorder="1"/>
    <xf numFmtId="49" fontId="3" fillId="0" borderId="0" xfId="0" applyNumberFormat="1" applyFont="1"/>
    <xf numFmtId="165" fontId="0" fillId="7" borderId="2" xfId="0" applyNumberFormat="1" applyFill="1" applyBorder="1"/>
    <xf numFmtId="165" fontId="0" fillId="2" borderId="8" xfId="0" applyNumberFormat="1" applyFill="1" applyBorder="1"/>
    <xf numFmtId="165" fontId="0" fillId="4" borderId="11" xfId="0" applyNumberFormat="1" applyFill="1" applyBorder="1"/>
    <xf numFmtId="165" fontId="0" fillId="2" borderId="11" xfId="0" applyNumberFormat="1" applyFill="1" applyBorder="1"/>
    <xf numFmtId="165" fontId="0" fillId="0" borderId="13" xfId="0" applyNumberFormat="1" applyFill="1" applyBorder="1"/>
    <xf numFmtId="49" fontId="0" fillId="0" borderId="0" xfId="0" applyNumberFormat="1"/>
    <xf numFmtId="49" fontId="3" fillId="4" borderId="0" xfId="0" applyNumberFormat="1" applyFont="1" applyFill="1" applyBorder="1"/>
    <xf numFmtId="170" fontId="3" fillId="0" borderId="0" xfId="0" applyNumberFormat="1" applyFont="1"/>
    <xf numFmtId="165" fontId="0" fillId="2" borderId="7" xfId="0" applyNumberFormat="1" applyFill="1" applyBorder="1"/>
    <xf numFmtId="165" fontId="0" fillId="4" borderId="10" xfId="0" applyNumberFormat="1" applyFill="1" applyBorder="1"/>
    <xf numFmtId="165" fontId="0" fillId="2" borderId="10" xfId="0" applyNumberFormat="1" applyFill="1" applyBorder="1"/>
    <xf numFmtId="165" fontId="0" fillId="0" borderId="10" xfId="0" applyNumberFormat="1" applyFill="1" applyBorder="1"/>
    <xf numFmtId="165" fontId="0" fillId="4" borderId="12" xfId="0" applyNumberFormat="1" applyFill="1" applyBorder="1"/>
    <xf numFmtId="49" fontId="3" fillId="2" borderId="0" xfId="0" applyNumberFormat="1" applyFont="1" applyFill="1" applyBorder="1"/>
    <xf numFmtId="167" fontId="7" fillId="3" borderId="2" xfId="0" applyNumberFormat="1" applyFont="1" applyFill="1" applyBorder="1"/>
    <xf numFmtId="165" fontId="0" fillId="4" borderId="0" xfId="0" applyNumberFormat="1" applyFill="1" applyBorder="1"/>
    <xf numFmtId="0" fontId="0" fillId="7" borderId="0" xfId="0" applyFill="1"/>
    <xf numFmtId="10" fontId="3" fillId="6" borderId="4" xfId="0" applyNumberFormat="1" applyFont="1" applyFill="1" applyBorder="1"/>
    <xf numFmtId="0" fontId="3" fillId="7" borderId="0" xfId="0" applyFont="1" applyFill="1"/>
    <xf numFmtId="10" fontId="3" fillId="4" borderId="0" xfId="0" applyNumberFormat="1" applyFont="1" applyFill="1" applyBorder="1"/>
    <xf numFmtId="49" fontId="0" fillId="5" borderId="0" xfId="0" applyNumberFormat="1" applyFill="1"/>
    <xf numFmtId="0" fontId="15" fillId="4" borderId="0" xfId="0" applyFont="1" applyFill="1"/>
    <xf numFmtId="165" fontId="0" fillId="3" borderId="2" xfId="0" applyNumberFormat="1" applyFont="1" applyFill="1" applyBorder="1"/>
    <xf numFmtId="10" fontId="10" fillId="2" borderId="3" xfId="0" applyNumberFormat="1" applyFont="1" applyFill="1" applyBorder="1" applyAlignment="1">
      <alignment vertical="center"/>
    </xf>
    <xf numFmtId="165" fontId="0" fillId="3" borderId="4" xfId="0" applyNumberFormat="1" applyFill="1" applyBorder="1"/>
    <xf numFmtId="165" fontId="2" fillId="3" borderId="2" xfId="0" applyNumberFormat="1" applyFont="1" applyFill="1" applyBorder="1"/>
    <xf numFmtId="165" fontId="2" fillId="3" borderId="4" xfId="0" applyNumberFormat="1" applyFont="1" applyFill="1" applyBorder="1"/>
    <xf numFmtId="170" fontId="3" fillId="9" borderId="0" xfId="0" applyNumberFormat="1" applyFont="1" applyFill="1"/>
    <xf numFmtId="165" fontId="0" fillId="9" borderId="11" xfId="0" applyNumberFormat="1" applyFill="1" applyBorder="1"/>
    <xf numFmtId="165" fontId="0" fillId="9" borderId="13" xfId="0" applyNumberFormat="1" applyFill="1" applyBorder="1"/>
    <xf numFmtId="165" fontId="0" fillId="9" borderId="14" xfId="0" applyNumberFormat="1" applyFill="1" applyBorder="1"/>
    <xf numFmtId="165" fontId="0" fillId="4" borderId="8" xfId="0" applyNumberFormat="1" applyFill="1" applyBorder="1"/>
    <xf numFmtId="165" fontId="0" fillId="4" borderId="9" xfId="0" applyNumberFormat="1" applyFill="1" applyBorder="1"/>
    <xf numFmtId="165" fontId="0" fillId="9" borderId="10" xfId="0" applyNumberFormat="1" applyFill="1" applyBorder="1"/>
    <xf numFmtId="165" fontId="0" fillId="9" borderId="12" xfId="0" applyNumberFormat="1" applyFill="1" applyBorder="1"/>
    <xf numFmtId="165" fontId="0" fillId="8" borderId="7" xfId="0" applyNumberFormat="1" applyFill="1" applyBorder="1"/>
    <xf numFmtId="165" fontId="0" fillId="8" borderId="8" xfId="0" applyNumberFormat="1" applyFill="1" applyBorder="1"/>
    <xf numFmtId="165" fontId="0" fillId="7" borderId="10" xfId="0" applyNumberFormat="1" applyFill="1" applyBorder="1"/>
    <xf numFmtId="165" fontId="0" fillId="8" borderId="10" xfId="0" applyNumberFormat="1" applyFill="1" applyBorder="1"/>
    <xf numFmtId="165" fontId="0" fillId="7" borderId="12" xfId="0" applyNumberFormat="1" applyFill="1" applyBorder="1"/>
    <xf numFmtId="165" fontId="0" fillId="7" borderId="13" xfId="0" applyNumberFormat="1" applyFill="1" applyBorder="1"/>
    <xf numFmtId="165" fontId="0" fillId="4" borderId="15" xfId="0" applyNumberFormat="1" applyFill="1" applyBorder="1"/>
    <xf numFmtId="165" fontId="0" fillId="4" borderId="16" xfId="0" applyNumberFormat="1" applyFill="1" applyBorder="1"/>
    <xf numFmtId="165" fontId="0" fillId="0" borderId="16" xfId="0" applyNumberFormat="1" applyFill="1" applyBorder="1"/>
    <xf numFmtId="165" fontId="0" fillId="2" borderId="16" xfId="0" applyNumberFormat="1" applyFill="1" applyBorder="1"/>
    <xf numFmtId="165" fontId="0" fillId="0" borderId="17" xfId="0" applyNumberFormat="1" applyFill="1" applyBorder="1"/>
    <xf numFmtId="165" fontId="0" fillId="9" borderId="16" xfId="0" applyNumberFormat="1" applyFill="1" applyBorder="1"/>
    <xf numFmtId="165" fontId="0" fillId="9" borderId="17" xfId="0" applyNumberFormat="1" applyFill="1" applyBorder="1"/>
    <xf numFmtId="165" fontId="0" fillId="9" borderId="9" xfId="0" applyNumberFormat="1" applyFill="1" applyBorder="1"/>
    <xf numFmtId="165" fontId="0" fillId="9" borderId="8" xfId="0" applyNumberFormat="1" applyFill="1" applyBorder="1"/>
    <xf numFmtId="165" fontId="0" fillId="9" borderId="15" xfId="0" applyNumberFormat="1" applyFill="1" applyBorder="1"/>
    <xf numFmtId="170" fontId="3" fillId="4" borderId="0" xfId="0" applyNumberFormat="1" applyFont="1" applyFill="1"/>
    <xf numFmtId="49" fontId="0" fillId="4" borderId="0" xfId="0" applyNumberFormat="1" applyFill="1"/>
    <xf numFmtId="49" fontId="3" fillId="4" borderId="0" xfId="0" applyNumberFormat="1" applyFont="1" applyFill="1"/>
  </cellXfs>
  <cellStyles count="8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/>
    <cellStyle name="Normal" xfId="0" builtinId="0"/>
    <cellStyle name="Normal 2" xfId="46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smartasset.com/taxes/income-taxes" TargetMode="External"/><Relationship Id="rId2" Type="http://schemas.openxmlformats.org/officeDocument/2006/relationships/hyperlink" Target="https://smartasset.com/investing/capital-gains-tax-calculato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3:E23"/>
  <sheetViews>
    <sheetView showGridLines="0" tabSelected="1" zoomScale="150" zoomScaleNormal="150" zoomScalePageLayoutView="150" workbookViewId="0"/>
  </sheetViews>
  <sheetFormatPr baseColWidth="10" defaultRowHeight="12" x14ac:dyDescent="0"/>
  <cols>
    <col min="1" max="1" width="10.83203125" style="83"/>
    <col min="2" max="2" width="11.1640625" style="83" bestFit="1" customWidth="1"/>
    <col min="3" max="3" width="13.6640625" style="83" customWidth="1"/>
    <col min="4" max="16384" width="10.83203125" style="83"/>
  </cols>
  <sheetData>
    <row r="3" spans="2:5" ht="15">
      <c r="B3" s="82" t="s">
        <v>100</v>
      </c>
    </row>
    <row r="4" spans="2:5">
      <c r="B4" s="84">
        <f>'Federal Income Tax'!G3</f>
        <v>0</v>
      </c>
      <c r="C4" s="83" t="s">
        <v>71</v>
      </c>
      <c r="D4" s="85">
        <f>'Federal Income Tax'!I3</f>
        <v>0</v>
      </c>
      <c r="E4" s="86" t="s">
        <v>72</v>
      </c>
    </row>
    <row r="5" spans="2:5">
      <c r="B5" s="87">
        <f>'Federal Income Tax'!G4</f>
        <v>0</v>
      </c>
      <c r="C5" s="83" t="s">
        <v>91</v>
      </c>
      <c r="D5" s="88">
        <f>'Federal Income Tax'!I4</f>
        <v>0</v>
      </c>
      <c r="E5" s="86" t="s">
        <v>73</v>
      </c>
    </row>
    <row r="8" spans="2:5" ht="15">
      <c r="B8" s="82" t="s">
        <v>101</v>
      </c>
    </row>
    <row r="9" spans="2:5">
      <c r="B9" s="84">
        <f>'GA State Income Tax'!G3</f>
        <v>0</v>
      </c>
      <c r="C9" s="83" t="s">
        <v>71</v>
      </c>
      <c r="D9" s="85">
        <f>'GA State Income Tax'!I3</f>
        <v>0</v>
      </c>
      <c r="E9" s="86" t="s">
        <v>72</v>
      </c>
    </row>
    <row r="10" spans="2:5">
      <c r="B10" s="87">
        <f>'GA State Income Tax'!G4</f>
        <v>0</v>
      </c>
      <c r="C10" s="83" t="s">
        <v>91</v>
      </c>
      <c r="D10" s="88">
        <f>'GA State Income Tax'!I4</f>
        <v>0</v>
      </c>
      <c r="E10" s="86" t="s">
        <v>73</v>
      </c>
    </row>
    <row r="13" spans="2:5" ht="15">
      <c r="B13" s="82" t="s">
        <v>102</v>
      </c>
    </row>
    <row r="14" spans="2:5">
      <c r="B14" s="84">
        <f>B4+B9</f>
        <v>0</v>
      </c>
      <c r="C14" s="83" t="s">
        <v>71</v>
      </c>
      <c r="D14" s="85">
        <f>D4+D9</f>
        <v>0</v>
      </c>
      <c r="E14" s="86" t="s">
        <v>72</v>
      </c>
    </row>
    <row r="15" spans="2:5">
      <c r="B15" s="87">
        <f>B5+B10</f>
        <v>0</v>
      </c>
      <c r="C15" s="83" t="s">
        <v>91</v>
      </c>
      <c r="D15" s="88">
        <f>D5+D10</f>
        <v>0</v>
      </c>
      <c r="E15" s="86" t="s">
        <v>73</v>
      </c>
    </row>
    <row r="18" spans="2:3" ht="15">
      <c r="B18" s="82" t="s">
        <v>74</v>
      </c>
    </row>
    <row r="19" spans="2:3">
      <c r="B19" s="89">
        <f>'Quarterly Income'!F65</f>
        <v>0</v>
      </c>
      <c r="C19" s="83" t="s">
        <v>6</v>
      </c>
    </row>
    <row r="20" spans="2:3">
      <c r="B20" s="89">
        <f>'Quarterly Income'!F66</f>
        <v>0</v>
      </c>
      <c r="C20" s="83" t="s">
        <v>7</v>
      </c>
    </row>
    <row r="21" spans="2:3">
      <c r="B21" s="89">
        <f>'Quarterly Income'!F68+'Quarterly Income'!F69</f>
        <v>0</v>
      </c>
      <c r="C21" s="83" t="s">
        <v>103</v>
      </c>
    </row>
    <row r="23" spans="2:3">
      <c r="B23" s="89">
        <f>SUM(B19:B21)</f>
        <v>0</v>
      </c>
      <c r="C23" s="83" t="s">
        <v>104</v>
      </c>
    </row>
  </sheetData>
  <phoneticPr fontId="1" type="noConversion"/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pageSetUpPr fitToPage="1"/>
  </sheetPr>
  <dimension ref="A2:N100"/>
  <sheetViews>
    <sheetView zoomScale="125" zoomScaleNormal="125" zoomScalePageLayoutView="125" workbookViewId="0">
      <selection activeCell="L50" sqref="L50"/>
    </sheetView>
  </sheetViews>
  <sheetFormatPr baseColWidth="10" defaultColWidth="8.83203125" defaultRowHeight="12" x14ac:dyDescent="0"/>
  <cols>
    <col min="1" max="1" width="8.83203125" style="39"/>
    <col min="2" max="2" width="13.6640625" style="39" customWidth="1"/>
    <col min="3" max="3" width="14.6640625" style="39" customWidth="1"/>
    <col min="4" max="5" width="14.33203125" style="39" customWidth="1"/>
    <col min="6" max="7" width="16" style="39" customWidth="1"/>
    <col min="8" max="8" width="16.1640625" style="39" customWidth="1"/>
    <col min="9" max="9" width="12.6640625" style="39" customWidth="1"/>
    <col min="10" max="10" width="16.1640625" style="39" customWidth="1"/>
    <col min="11" max="11" width="11.6640625" style="39" customWidth="1"/>
    <col min="12" max="12" width="12.1640625" style="39" customWidth="1"/>
    <col min="13" max="16384" width="8.83203125" style="39"/>
  </cols>
  <sheetData>
    <row r="2" spans="2:10" ht="15">
      <c r="B2" s="49" t="s">
        <v>58</v>
      </c>
      <c r="F2" s="43"/>
    </row>
    <row r="3" spans="2:10" ht="15">
      <c r="B3" s="49"/>
      <c r="F3" s="43"/>
      <c r="G3" s="31">
        <f>B87+G76</f>
        <v>0</v>
      </c>
      <c r="H3" s="46" t="s">
        <v>71</v>
      </c>
      <c r="I3" s="70">
        <f>B90</f>
        <v>0</v>
      </c>
      <c r="J3" s="41" t="s">
        <v>72</v>
      </c>
    </row>
    <row r="4" spans="2:10" ht="15">
      <c r="B4" s="49"/>
      <c r="F4" s="43"/>
      <c r="G4" s="20">
        <f>B88</f>
        <v>0</v>
      </c>
      <c r="H4" s="46" t="s">
        <v>91</v>
      </c>
      <c r="I4" s="72">
        <f>B91</f>
        <v>0</v>
      </c>
      <c r="J4" s="41" t="s">
        <v>73</v>
      </c>
    </row>
    <row r="6" spans="2:10">
      <c r="B6" s="103">
        <v>0</v>
      </c>
      <c r="C6" s="46" t="s">
        <v>109</v>
      </c>
      <c r="D6" s="53"/>
      <c r="E6" s="53"/>
      <c r="G6" s="43"/>
      <c r="H6" s="53"/>
      <c r="I6" s="53"/>
      <c r="J6" s="53"/>
    </row>
    <row r="7" spans="2:10">
      <c r="B7" s="103">
        <v>0</v>
      </c>
      <c r="C7" s="53" t="s">
        <v>105</v>
      </c>
      <c r="D7" s="53"/>
      <c r="E7" s="53"/>
      <c r="G7" s="43"/>
      <c r="H7" s="53"/>
      <c r="I7" s="53"/>
      <c r="J7" s="53"/>
    </row>
    <row r="8" spans="2:10">
      <c r="B8" s="103">
        <v>0</v>
      </c>
      <c r="C8" s="46" t="s">
        <v>61</v>
      </c>
      <c r="D8" s="53"/>
      <c r="E8" s="53"/>
      <c r="G8" s="53"/>
      <c r="H8" s="53"/>
      <c r="I8" s="53"/>
      <c r="J8" s="53"/>
    </row>
    <row r="9" spans="2:10">
      <c r="B9" s="103">
        <v>0</v>
      </c>
      <c r="C9" s="39" t="s">
        <v>166</v>
      </c>
      <c r="D9" s="53"/>
      <c r="E9" s="53"/>
      <c r="G9" s="43"/>
      <c r="H9" s="53"/>
      <c r="I9" s="53"/>
      <c r="J9" s="53"/>
    </row>
    <row r="10" spans="2:10">
      <c r="B10" s="31">
        <f>C61</f>
        <v>0</v>
      </c>
      <c r="C10" s="46" t="s">
        <v>110</v>
      </c>
      <c r="D10" s="53"/>
      <c r="E10" s="53"/>
      <c r="G10" s="43" t="s">
        <v>119</v>
      </c>
      <c r="H10" s="53"/>
      <c r="I10" s="53"/>
      <c r="J10" s="53"/>
    </row>
    <row r="11" spans="2:10">
      <c r="B11" s="31">
        <f>C62</f>
        <v>0</v>
      </c>
      <c r="C11" s="46" t="s">
        <v>79</v>
      </c>
      <c r="D11" s="53"/>
      <c r="E11" s="53"/>
      <c r="G11" s="43" t="s">
        <v>120</v>
      </c>
      <c r="H11" s="53"/>
      <c r="I11" s="53"/>
      <c r="J11" s="53"/>
    </row>
    <row r="12" spans="2:10">
      <c r="B12" s="31">
        <f>C63</f>
        <v>0</v>
      </c>
      <c r="C12" s="46" t="s">
        <v>111</v>
      </c>
      <c r="D12" s="53"/>
      <c r="E12" s="53"/>
      <c r="G12" s="53"/>
      <c r="H12" s="53"/>
      <c r="I12" s="53"/>
      <c r="J12" s="53"/>
    </row>
    <row r="13" spans="2:10">
      <c r="B13" s="53"/>
      <c r="C13" s="46"/>
      <c r="D13" s="53"/>
      <c r="E13" s="53"/>
      <c r="G13" s="53"/>
      <c r="H13" s="53"/>
      <c r="I13" s="53"/>
      <c r="J13" s="53"/>
    </row>
    <row r="14" spans="2:10">
      <c r="B14" s="103">
        <v>27700</v>
      </c>
      <c r="C14" s="46" t="s">
        <v>78</v>
      </c>
      <c r="D14" s="53"/>
      <c r="E14" s="53"/>
      <c r="G14" s="43" t="s">
        <v>156</v>
      </c>
      <c r="H14" s="53"/>
      <c r="I14" s="53"/>
      <c r="J14" s="53"/>
    </row>
    <row r="15" spans="2:10">
      <c r="B15" s="64"/>
      <c r="C15" s="46"/>
      <c r="D15" s="53"/>
      <c r="E15" s="53"/>
      <c r="G15" s="43"/>
      <c r="H15" s="53"/>
      <c r="I15" s="53"/>
      <c r="J15" s="53"/>
    </row>
    <row r="16" spans="2:10">
      <c r="B16" s="103">
        <v>250000</v>
      </c>
      <c r="C16" s="46" t="s">
        <v>85</v>
      </c>
      <c r="D16" s="53"/>
      <c r="E16" s="53"/>
      <c r="G16" s="43" t="s">
        <v>76</v>
      </c>
      <c r="H16" s="53"/>
      <c r="I16" s="53"/>
      <c r="J16" s="53"/>
    </row>
    <row r="17" spans="2:10">
      <c r="B17" s="80">
        <v>3.7999999999999999E-2</v>
      </c>
      <c r="C17" s="46" t="s">
        <v>77</v>
      </c>
      <c r="D17" s="53"/>
      <c r="E17" s="53"/>
      <c r="G17" s="43"/>
      <c r="H17" s="53"/>
      <c r="I17" s="53"/>
      <c r="J17" s="53"/>
    </row>
    <row r="18" spans="2:10">
      <c r="B18" s="53"/>
      <c r="C18" s="46"/>
      <c r="D18" s="53"/>
      <c r="E18" s="53"/>
      <c r="G18" s="53"/>
      <c r="H18" s="53"/>
      <c r="I18" s="53"/>
      <c r="J18" s="53"/>
    </row>
    <row r="19" spans="2:10">
      <c r="B19" s="31">
        <f>B8+B11</f>
        <v>0</v>
      </c>
      <c r="C19" s="46" t="s">
        <v>112</v>
      </c>
      <c r="D19" s="53"/>
      <c r="E19" s="53"/>
      <c r="G19" s="53"/>
      <c r="H19" s="53"/>
      <c r="I19" s="53"/>
      <c r="J19" s="53"/>
    </row>
    <row r="20" spans="2:10">
      <c r="B20" s="64"/>
      <c r="C20" s="53"/>
      <c r="D20" s="53"/>
      <c r="E20" s="53"/>
      <c r="G20" s="53"/>
      <c r="H20" s="53"/>
      <c r="I20" s="53"/>
      <c r="J20" s="53"/>
    </row>
    <row r="21" spans="2:10">
      <c r="B21" s="31">
        <f>MAX(B6+B7+B8+B9+MAX(-3000, B12),B65)</f>
        <v>0</v>
      </c>
      <c r="C21" s="39" t="s">
        <v>140</v>
      </c>
      <c r="D21" s="53"/>
      <c r="E21" s="53"/>
      <c r="G21" s="53"/>
      <c r="H21" s="53"/>
      <c r="I21" s="53"/>
      <c r="J21" s="53"/>
    </row>
    <row r="22" spans="2:10">
      <c r="B22" s="31">
        <f>MAX(B21-B14,0)</f>
        <v>0</v>
      </c>
      <c r="C22" s="46" t="s">
        <v>64</v>
      </c>
      <c r="D22" s="53"/>
      <c r="E22" s="53"/>
      <c r="G22" s="53"/>
      <c r="H22" s="53"/>
      <c r="I22" s="53"/>
      <c r="J22" s="53"/>
    </row>
    <row r="23" spans="2:10">
      <c r="B23" s="31">
        <f>MAX(B22-B19,0)</f>
        <v>0</v>
      </c>
      <c r="C23" s="46" t="s">
        <v>65</v>
      </c>
      <c r="D23" s="53"/>
      <c r="E23" s="53"/>
      <c r="G23" s="53"/>
      <c r="H23" s="53"/>
      <c r="I23" s="53"/>
      <c r="J23" s="53"/>
    </row>
    <row r="24" spans="2:10">
      <c r="B24" s="31">
        <f>MAX(B9,B48)</f>
        <v>0</v>
      </c>
      <c r="C24" s="39" t="s">
        <v>169</v>
      </c>
      <c r="D24" s="53"/>
      <c r="E24" s="53"/>
      <c r="G24" s="53"/>
      <c r="H24" s="53"/>
      <c r="I24" s="53"/>
      <c r="J24" s="53"/>
    </row>
    <row r="25" spans="2:10">
      <c r="B25" s="31">
        <f>MAX(B22-B23, B73)</f>
        <v>0</v>
      </c>
      <c r="C25" s="46" t="s">
        <v>66</v>
      </c>
      <c r="D25" s="53"/>
      <c r="E25" s="53"/>
      <c r="G25" s="53"/>
      <c r="H25" s="53"/>
      <c r="I25" s="53"/>
      <c r="J25" s="53"/>
    </row>
    <row r="26" spans="2:10">
      <c r="B26" s="31">
        <f>MAX(B7+B8+B12, B47+C63+B51)</f>
        <v>0</v>
      </c>
      <c r="C26" s="46" t="s">
        <v>96</v>
      </c>
      <c r="D26" s="53"/>
      <c r="E26" s="53"/>
      <c r="G26" s="53"/>
      <c r="H26" s="53"/>
      <c r="I26" s="53"/>
      <c r="J26" s="53"/>
    </row>
    <row r="27" spans="2:10">
      <c r="B27" s="64"/>
      <c r="C27" s="53"/>
      <c r="D27" s="53"/>
      <c r="E27" s="53"/>
      <c r="G27" s="53"/>
      <c r="H27" s="53"/>
      <c r="I27" s="53"/>
      <c r="J27" s="53"/>
    </row>
    <row r="28" spans="2:10">
      <c r="B28" s="31">
        <f>VLOOKUP(B23,G45:J51,4) + (B23-VLOOKUP(B23,G45:J51,1))*VLOOKUP(B23,G45:J51,3)</f>
        <v>0</v>
      </c>
      <c r="C28" s="46" t="s">
        <v>56</v>
      </c>
      <c r="D28" s="53"/>
      <c r="E28" s="53"/>
      <c r="G28" s="43"/>
      <c r="H28" s="53"/>
      <c r="I28" s="53"/>
      <c r="J28" s="53"/>
    </row>
    <row r="29" spans="2:10">
      <c r="B29" s="71">
        <f>IF(B23=0,0,B28/B23)</f>
        <v>0</v>
      </c>
      <c r="C29" s="41" t="s">
        <v>68</v>
      </c>
      <c r="D29" s="53"/>
      <c r="E29" s="53"/>
      <c r="G29" s="62" t="s">
        <v>49</v>
      </c>
      <c r="H29" s="53"/>
      <c r="I29" s="53"/>
      <c r="J29" s="53"/>
    </row>
    <row r="30" spans="2:10">
      <c r="B30" s="53"/>
      <c r="C30" s="53"/>
      <c r="D30" s="53"/>
      <c r="E30" s="53"/>
      <c r="G30" s="53"/>
      <c r="H30" s="53"/>
      <c r="I30" s="53"/>
      <c r="J30" s="53"/>
    </row>
    <row r="31" spans="2:10">
      <c r="B31" s="31">
        <f>J59*I59+J60*I60</f>
        <v>0</v>
      </c>
      <c r="C31" s="46" t="s">
        <v>93</v>
      </c>
      <c r="D31" s="53"/>
      <c r="E31" s="53"/>
      <c r="G31" s="53"/>
      <c r="H31" s="53"/>
      <c r="I31" s="53"/>
      <c r="J31" s="53"/>
    </row>
    <row r="32" spans="2:10">
      <c r="B32" s="71">
        <f>IF(B25=0,0,(J59*I59+J60*I60)/B25)</f>
        <v>0</v>
      </c>
      <c r="C32" s="41" t="s">
        <v>67</v>
      </c>
      <c r="D32" s="53"/>
      <c r="E32" s="53"/>
      <c r="G32" s="62" t="s">
        <v>86</v>
      </c>
      <c r="H32" s="53"/>
      <c r="I32" s="53"/>
      <c r="J32" s="53"/>
    </row>
    <row r="33" spans="1:14">
      <c r="B33" s="138"/>
      <c r="C33" s="41"/>
      <c r="D33" s="53"/>
      <c r="E33" s="53"/>
      <c r="G33" s="62"/>
      <c r="H33" s="53"/>
      <c r="I33" s="53"/>
      <c r="J33" s="53"/>
    </row>
    <row r="34" spans="1:14">
      <c r="A34" s="135"/>
      <c r="B34" s="106">
        <f>(B24*I67)+MIN(MAX(0,G67-MAX(B6,B44)),MAX(B9,B48))*H67</f>
        <v>0</v>
      </c>
      <c r="C34" s="135" t="s">
        <v>167</v>
      </c>
      <c r="D34" s="135"/>
      <c r="E34" s="135"/>
      <c r="F34" s="135"/>
      <c r="G34" s="135"/>
      <c r="H34" s="135"/>
      <c r="I34" s="135"/>
      <c r="J34" s="135"/>
      <c r="K34" s="135"/>
      <c r="L34" s="135"/>
      <c r="M34" s="135"/>
      <c r="N34" s="135"/>
    </row>
    <row r="35" spans="1:14">
      <c r="A35" s="135"/>
      <c r="B35" s="136">
        <f>IF(B24=0,0,B34/B24)</f>
        <v>0</v>
      </c>
      <c r="C35" s="137" t="s">
        <v>168</v>
      </c>
      <c r="D35" s="137"/>
      <c r="E35" s="137"/>
      <c r="F35" s="137"/>
      <c r="G35" s="135"/>
      <c r="H35" s="135"/>
      <c r="I35" s="135"/>
      <c r="J35" s="135"/>
      <c r="K35" s="135"/>
      <c r="L35" s="135"/>
      <c r="M35" s="135"/>
      <c r="N35" s="135"/>
    </row>
    <row r="36" spans="1:14">
      <c r="A36" s="135"/>
      <c r="B36" s="135"/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</row>
    <row r="37" spans="1:14">
      <c r="B37" s="31">
        <f>(MIN(B26,MAX(B21-B16,0)))*B17</f>
        <v>0</v>
      </c>
      <c r="C37" s="46" t="s">
        <v>94</v>
      </c>
      <c r="D37" s="53"/>
      <c r="E37" s="53"/>
      <c r="G37" s="53"/>
      <c r="H37" s="53"/>
      <c r="I37" s="53"/>
      <c r="J37" s="53"/>
    </row>
    <row r="38" spans="1:14">
      <c r="B38" s="71">
        <f>IF(B26=0,0,B37/B26)</f>
        <v>0</v>
      </c>
      <c r="C38" s="41" t="s">
        <v>95</v>
      </c>
      <c r="D38" s="53"/>
      <c r="E38" s="53"/>
      <c r="G38" s="53"/>
      <c r="H38" s="53"/>
      <c r="I38" s="53"/>
      <c r="J38" s="53"/>
    </row>
    <row r="39" spans="1:14">
      <c r="B39" s="53"/>
      <c r="C39" s="53"/>
      <c r="D39" s="53"/>
      <c r="E39" s="53"/>
      <c r="G39" s="53"/>
      <c r="H39" s="53"/>
      <c r="I39" s="53"/>
      <c r="J39" s="53"/>
    </row>
    <row r="40" spans="1:14">
      <c r="B40" s="71">
        <f>IF(AND(B22 = 0, B24 = 0),0,(B28+B31+B34+B37)/B22)</f>
        <v>0</v>
      </c>
      <c r="C40" s="41" t="s">
        <v>92</v>
      </c>
      <c r="D40" s="53"/>
      <c r="E40" s="53"/>
    </row>
    <row r="41" spans="1:14">
      <c r="B41" s="53"/>
      <c r="C41" s="53"/>
      <c r="D41" s="53"/>
      <c r="E41" s="53"/>
    </row>
    <row r="42" spans="1:14">
      <c r="B42" s="91"/>
      <c r="C42" s="46"/>
      <c r="D42" s="53"/>
      <c r="E42" s="53"/>
      <c r="F42" s="52"/>
      <c r="L42" s="68"/>
    </row>
    <row r="43" spans="1:14" ht="15">
      <c r="B43" s="92" t="s">
        <v>54</v>
      </c>
      <c r="C43" s="53"/>
      <c r="D43" s="53"/>
      <c r="E43" s="53"/>
      <c r="G43" s="49" t="s">
        <v>57</v>
      </c>
      <c r="H43" s="46"/>
      <c r="I43" s="46"/>
      <c r="J43" s="46"/>
    </row>
    <row r="44" spans="1:14">
      <c r="B44" s="31">
        <f>'Quarterly Income'!F63</f>
        <v>0</v>
      </c>
      <c r="C44" s="39" t="s">
        <v>44</v>
      </c>
      <c r="D44" s="53"/>
      <c r="E44" s="53"/>
      <c r="G44" s="78" t="s">
        <v>82</v>
      </c>
      <c r="H44" s="79" t="s">
        <v>83</v>
      </c>
      <c r="I44" s="79" t="s">
        <v>52</v>
      </c>
      <c r="J44" s="79" t="s">
        <v>53</v>
      </c>
    </row>
    <row r="45" spans="1:14">
      <c r="B45" s="64"/>
      <c r="C45" s="46"/>
      <c r="D45" s="53"/>
      <c r="E45" s="53"/>
      <c r="G45" s="74">
        <v>0</v>
      </c>
      <c r="H45" s="77">
        <v>22000</v>
      </c>
      <c r="I45" s="75">
        <v>0.1</v>
      </c>
      <c r="J45" s="74">
        <v>0</v>
      </c>
      <c r="M45" s="46"/>
    </row>
    <row r="46" spans="1:14">
      <c r="B46" s="31">
        <f>'Quarterly Income'!F67</f>
        <v>0</v>
      </c>
      <c r="C46" s="53" t="s">
        <v>37</v>
      </c>
      <c r="D46" s="53"/>
      <c r="E46" s="53"/>
      <c r="G46" s="74">
        <f t="shared" ref="G46:G51" si="0">H45+1</f>
        <v>22001</v>
      </c>
      <c r="H46" s="77">
        <v>89450</v>
      </c>
      <c r="I46" s="75">
        <v>0.12</v>
      </c>
      <c r="J46" s="74">
        <f t="shared" ref="J46:J51" si="1">CEILING((H45-G45)*I45+J45,0.5)</f>
        <v>2200</v>
      </c>
    </row>
    <row r="47" spans="1:14">
      <c r="B47" s="143">
        <f>'Quarterly Income'!F66</f>
        <v>0</v>
      </c>
      <c r="C47" s="53" t="s">
        <v>7</v>
      </c>
      <c r="D47" s="53"/>
      <c r="E47" s="53"/>
      <c r="G47" s="74">
        <f t="shared" si="0"/>
        <v>89451</v>
      </c>
      <c r="H47" s="77">
        <v>190750</v>
      </c>
      <c r="I47" s="75">
        <v>0.22</v>
      </c>
      <c r="J47" s="74">
        <f t="shared" si="1"/>
        <v>10294</v>
      </c>
    </row>
    <row r="48" spans="1:14">
      <c r="B48" s="31">
        <f>'Quarterly Income'!F64</f>
        <v>0</v>
      </c>
      <c r="C48" s="39" t="s">
        <v>161</v>
      </c>
      <c r="D48" s="53"/>
      <c r="E48" s="53"/>
      <c r="G48" s="74">
        <f t="shared" si="0"/>
        <v>190751</v>
      </c>
      <c r="H48" s="77">
        <v>364200</v>
      </c>
      <c r="I48" s="75">
        <v>0.24</v>
      </c>
      <c r="J48" s="74">
        <f t="shared" si="1"/>
        <v>32580</v>
      </c>
    </row>
    <row r="49" spans="2:14">
      <c r="B49" s="31">
        <f>SUM(B44:B48)</f>
        <v>0</v>
      </c>
      <c r="C49" s="46" t="s">
        <v>50</v>
      </c>
      <c r="D49" s="53"/>
      <c r="E49" s="53"/>
      <c r="G49" s="74">
        <f t="shared" si="0"/>
        <v>364201</v>
      </c>
      <c r="H49" s="77">
        <v>462500</v>
      </c>
      <c r="I49" s="75">
        <v>0.32</v>
      </c>
      <c r="J49" s="74">
        <f t="shared" si="1"/>
        <v>74208</v>
      </c>
    </row>
    <row r="50" spans="2:14">
      <c r="B50" s="64"/>
      <c r="C50" s="53"/>
      <c r="D50" s="53"/>
      <c r="E50" s="53"/>
      <c r="G50" s="74">
        <f t="shared" si="0"/>
        <v>462501</v>
      </c>
      <c r="H50" s="77">
        <v>693750</v>
      </c>
      <c r="I50" s="75">
        <v>0.35</v>
      </c>
      <c r="J50" s="74">
        <f t="shared" si="1"/>
        <v>105664</v>
      </c>
    </row>
    <row r="51" spans="2:14">
      <c r="B51" s="31">
        <f>'Quarterly Income'!F65</f>
        <v>0</v>
      </c>
      <c r="C51" s="53" t="s">
        <v>46</v>
      </c>
      <c r="D51" s="53"/>
      <c r="E51" s="53"/>
      <c r="G51" s="74">
        <f t="shared" si="0"/>
        <v>693751</v>
      </c>
      <c r="H51" s="77">
        <v>100000000</v>
      </c>
      <c r="I51" s="75">
        <v>0.37</v>
      </c>
      <c r="J51" s="74">
        <f t="shared" si="1"/>
        <v>186601.5</v>
      </c>
      <c r="M51" s="68"/>
    </row>
    <row r="52" spans="2:14">
      <c r="B52" s="53"/>
      <c r="C52" s="53"/>
      <c r="D52" s="53"/>
      <c r="E52" s="53"/>
      <c r="G52" s="39" t="s">
        <v>137</v>
      </c>
    </row>
    <row r="53" spans="2:14">
      <c r="B53" s="53"/>
      <c r="C53" s="103">
        <v>0</v>
      </c>
      <c r="D53" s="53" t="s">
        <v>2</v>
      </c>
      <c r="E53" s="53"/>
      <c r="G53" s="43" t="s">
        <v>59</v>
      </c>
    </row>
    <row r="54" spans="2:14">
      <c r="B54" s="53"/>
      <c r="C54" s="31">
        <f>'Quarterly Income'!F68</f>
        <v>0</v>
      </c>
      <c r="D54" s="53" t="s">
        <v>4</v>
      </c>
      <c r="E54" s="53"/>
    </row>
    <row r="55" spans="2:14">
      <c r="B55" s="53"/>
      <c r="C55" s="143">
        <f>SUM(C53:C54)</f>
        <v>0</v>
      </c>
      <c r="D55" s="46" t="s">
        <v>36</v>
      </c>
      <c r="E55" s="53"/>
    </row>
    <row r="56" spans="2:14" ht="15">
      <c r="B56" s="53"/>
      <c r="C56" s="64"/>
      <c r="D56" s="53"/>
      <c r="E56" s="53"/>
      <c r="G56" s="49" t="s">
        <v>63</v>
      </c>
    </row>
    <row r="57" spans="2:14">
      <c r="B57" s="53"/>
      <c r="C57" s="103">
        <v>0</v>
      </c>
      <c r="D57" s="53" t="s">
        <v>1</v>
      </c>
      <c r="E57" s="53"/>
      <c r="G57" s="78" t="s">
        <v>82</v>
      </c>
      <c r="H57" s="79" t="s">
        <v>83</v>
      </c>
      <c r="I57" s="79" t="s">
        <v>52</v>
      </c>
      <c r="J57" s="79" t="s">
        <v>84</v>
      </c>
    </row>
    <row r="58" spans="2:14">
      <c r="B58" s="53"/>
      <c r="C58" s="31">
        <f>'Quarterly Income'!F69</f>
        <v>0</v>
      </c>
      <c r="D58" s="53" t="s">
        <v>3</v>
      </c>
      <c r="E58" s="53"/>
      <c r="G58" s="74">
        <v>0</v>
      </c>
      <c r="H58" s="73">
        <v>89250</v>
      </c>
      <c r="I58" s="75">
        <v>0</v>
      </c>
      <c r="J58" s="69">
        <f>MIN(B22,H58) -MIN(B23,MIN(B22,H58))</f>
        <v>0</v>
      </c>
    </row>
    <row r="59" spans="2:14">
      <c r="B59" s="53"/>
      <c r="C59" s="31">
        <f>C58-C57</f>
        <v>0</v>
      </c>
      <c r="D59" s="46" t="s">
        <v>47</v>
      </c>
      <c r="E59" s="53"/>
      <c r="G59" s="74">
        <f t="shared" ref="G59:G60" si="2">H58+1</f>
        <v>89251</v>
      </c>
      <c r="H59" s="73">
        <v>553850</v>
      </c>
      <c r="I59" s="75">
        <v>0.15</v>
      </c>
      <c r="J59" s="69">
        <f>MIN(MAX(MIN(B22,H59) - (B23+J58),0),(B25-J58))</f>
        <v>0</v>
      </c>
    </row>
    <row r="60" spans="2:14" ht="13" customHeight="1">
      <c r="B60" s="53"/>
      <c r="C60" s="64"/>
      <c r="D60" s="53"/>
      <c r="E60" s="53"/>
      <c r="G60" s="74">
        <f t="shared" si="2"/>
        <v>553851</v>
      </c>
      <c r="H60" s="76">
        <v>100000000</v>
      </c>
      <c r="I60" s="75">
        <v>0.2</v>
      </c>
      <c r="J60" s="69">
        <f>B25 - (J58+J59)</f>
        <v>0</v>
      </c>
    </row>
    <row r="61" spans="2:14">
      <c r="B61" s="53"/>
      <c r="C61" s="144">
        <f>IF(C59&lt;0,C55+C59,C55)</f>
        <v>0</v>
      </c>
      <c r="D61" s="46" t="s">
        <v>99</v>
      </c>
      <c r="E61" s="53"/>
      <c r="G61" s="39" t="s">
        <v>137</v>
      </c>
    </row>
    <row r="62" spans="2:14">
      <c r="B62" s="53"/>
      <c r="C62" s="145">
        <f>IF(C55&lt;0, C55+C59,C59)</f>
        <v>0</v>
      </c>
      <c r="D62" s="46" t="s">
        <v>106</v>
      </c>
      <c r="E62" s="53"/>
      <c r="G62" s="43" t="s">
        <v>59</v>
      </c>
    </row>
    <row r="63" spans="2:14">
      <c r="B63" s="53"/>
      <c r="C63" s="31">
        <f>C55+C59</f>
        <v>0</v>
      </c>
      <c r="D63" s="46" t="s">
        <v>0</v>
      </c>
      <c r="E63" s="53"/>
      <c r="N63" s="46"/>
    </row>
    <row r="64" spans="2:14">
      <c r="B64" s="53"/>
      <c r="C64" s="53"/>
      <c r="D64" s="53"/>
      <c r="E64" s="53"/>
      <c r="N64" s="46"/>
    </row>
    <row r="65" spans="2:11" ht="15">
      <c r="B65" s="90">
        <f>B44+B46+B47+B48+B51+MAX(-3000,C63)</f>
        <v>0</v>
      </c>
      <c r="C65" s="53" t="s">
        <v>45</v>
      </c>
      <c r="D65" s="53"/>
      <c r="E65" s="41"/>
      <c r="G65" s="49" t="s">
        <v>157</v>
      </c>
    </row>
    <row r="66" spans="2:11">
      <c r="B66" s="20">
        <f>MAX(B65-B14,0)</f>
        <v>0</v>
      </c>
      <c r="C66" s="46" t="s">
        <v>48</v>
      </c>
      <c r="D66" s="53"/>
      <c r="E66" s="53"/>
      <c r="G66" s="78" t="s">
        <v>158</v>
      </c>
      <c r="H66" s="78" t="s">
        <v>159</v>
      </c>
      <c r="I66" s="78" t="s">
        <v>160</v>
      </c>
    </row>
    <row r="67" spans="2:11">
      <c r="B67" s="65"/>
      <c r="C67" s="46"/>
      <c r="D67" s="53"/>
      <c r="E67" s="41"/>
      <c r="G67" s="77">
        <v>160200</v>
      </c>
      <c r="H67" s="75">
        <v>0.124</v>
      </c>
      <c r="I67" s="75">
        <v>2.9000000000000001E-2</v>
      </c>
    </row>
    <row r="68" spans="2:11">
      <c r="B68" s="90">
        <f>MAX((B49-B14),0)</f>
        <v>0</v>
      </c>
      <c r="C68" s="46" t="s">
        <v>55</v>
      </c>
      <c r="D68" s="53"/>
      <c r="E68" s="41"/>
      <c r="G68" s="51"/>
      <c r="I68" s="67"/>
      <c r="K68" s="46"/>
    </row>
    <row r="69" spans="2:11">
      <c r="B69" s="20">
        <f>MAX(C61,0)</f>
        <v>0</v>
      </c>
      <c r="C69" s="46" t="s">
        <v>107</v>
      </c>
      <c r="D69" s="53"/>
      <c r="E69" s="41"/>
      <c r="K69" s="46"/>
    </row>
    <row r="70" spans="2:11">
      <c r="B70" s="65"/>
      <c r="C70" s="46"/>
      <c r="D70" s="53"/>
      <c r="E70" s="41"/>
      <c r="K70" s="46"/>
    </row>
    <row r="71" spans="2:11">
      <c r="B71" s="20">
        <f>C62+B51</f>
        <v>0</v>
      </c>
      <c r="C71" s="46" t="s">
        <v>108</v>
      </c>
      <c r="D71" s="53"/>
      <c r="E71" s="53"/>
      <c r="K71" s="46"/>
    </row>
    <row r="72" spans="2:11">
      <c r="B72" s="65"/>
      <c r="C72" s="46"/>
      <c r="D72" s="53"/>
      <c r="E72" s="53"/>
      <c r="K72" s="46"/>
    </row>
    <row r="73" spans="2:11">
      <c r="B73" s="20">
        <f>B46+B47+B51+C63</f>
        <v>0</v>
      </c>
      <c r="C73" s="46" t="s">
        <v>74</v>
      </c>
      <c r="D73" s="53"/>
      <c r="E73" s="53"/>
      <c r="G73" s="46"/>
    </row>
    <row r="74" spans="2:11">
      <c r="B74" s="53"/>
      <c r="C74" s="53"/>
      <c r="D74" s="53"/>
      <c r="E74" s="53"/>
      <c r="G74" s="46"/>
    </row>
    <row r="75" spans="2:11" ht="15">
      <c r="B75" s="49" t="s">
        <v>162</v>
      </c>
      <c r="C75" s="53"/>
      <c r="D75" s="53"/>
      <c r="E75" s="53"/>
      <c r="G75" s="49" t="s">
        <v>163</v>
      </c>
      <c r="H75" s="53"/>
      <c r="I75" s="53"/>
    </row>
    <row r="76" spans="2:11">
      <c r="B76" s="31">
        <f>(B68+B69)*B29</f>
        <v>0</v>
      </c>
      <c r="C76" s="46" t="s">
        <v>69</v>
      </c>
      <c r="D76" s="53"/>
      <c r="E76" s="53"/>
      <c r="G76" s="31">
        <f>(B48*I67)+MIN(MAX(0,G67-B44),B48)*H67</f>
        <v>0</v>
      </c>
      <c r="H76" s="39" t="s">
        <v>164</v>
      </c>
      <c r="I76" s="53"/>
    </row>
    <row r="77" spans="2:11">
      <c r="B77" s="71">
        <f>IF(B68=0,0,B76/B68)</f>
        <v>0</v>
      </c>
      <c r="C77" s="41" t="s">
        <v>97</v>
      </c>
      <c r="D77" s="53"/>
      <c r="E77" s="53"/>
      <c r="G77" s="71">
        <f>IF(B48=0,0,G76/B48)</f>
        <v>0</v>
      </c>
      <c r="H77" s="41" t="s">
        <v>165</v>
      </c>
      <c r="I77" s="53"/>
    </row>
    <row r="78" spans="2:11">
      <c r="B78" s="53"/>
      <c r="C78" s="46"/>
      <c r="D78" s="53"/>
      <c r="E78" s="53"/>
      <c r="G78" s="53"/>
      <c r="H78" s="46"/>
      <c r="I78" s="53"/>
    </row>
    <row r="79" spans="2:11">
      <c r="B79" s="31">
        <f>B71*B32</f>
        <v>0</v>
      </c>
      <c r="C79" s="46" t="s">
        <v>70</v>
      </c>
      <c r="D79" s="65"/>
      <c r="E79" s="53"/>
      <c r="G79" s="65"/>
    </row>
    <row r="80" spans="2:11">
      <c r="B80" s="71">
        <f>IF(B71=0,0,B79/B71)</f>
        <v>0</v>
      </c>
      <c r="C80" s="41" t="s">
        <v>98</v>
      </c>
      <c r="D80" s="65"/>
      <c r="E80" s="53"/>
      <c r="G80" s="65"/>
    </row>
    <row r="81" spans="2:8">
      <c r="B81" s="53"/>
      <c r="C81" s="46"/>
      <c r="D81" s="65"/>
      <c r="E81" s="53"/>
      <c r="G81" s="65"/>
    </row>
    <row r="82" spans="2:8">
      <c r="B82" s="31">
        <f>MAX((MIN(B73,MAX(B21-B16,0)))*B17,0)</f>
        <v>0</v>
      </c>
      <c r="C82" s="46" t="s">
        <v>75</v>
      </c>
      <c r="D82" s="65"/>
      <c r="E82" s="53"/>
      <c r="G82" s="65"/>
      <c r="H82" s="42"/>
    </row>
    <row r="83" spans="2:8">
      <c r="B83" s="71">
        <f>IF(B73=0,0,B82/B73)</f>
        <v>0</v>
      </c>
      <c r="C83" s="41" t="s">
        <v>77</v>
      </c>
      <c r="D83" s="65"/>
      <c r="E83" s="53"/>
      <c r="G83" s="65"/>
    </row>
    <row r="84" spans="2:8">
      <c r="B84" s="53"/>
      <c r="C84" s="46"/>
      <c r="D84" s="65"/>
      <c r="E84" s="53"/>
      <c r="G84" s="65"/>
    </row>
    <row r="85" spans="2:8">
      <c r="B85" s="31">
        <f>AMT!B25</f>
        <v>0</v>
      </c>
      <c r="C85" s="53" t="s">
        <v>25</v>
      </c>
      <c r="D85" s="65"/>
      <c r="E85" s="53"/>
      <c r="G85" s="65"/>
    </row>
    <row r="86" spans="2:8">
      <c r="B86" s="134"/>
      <c r="C86" s="53"/>
      <c r="D86" s="65"/>
      <c r="E86" s="53"/>
      <c r="G86" s="65"/>
    </row>
    <row r="87" spans="2:8">
      <c r="B87" s="61">
        <f>SUM(B76+B79+B82+B85)</f>
        <v>0</v>
      </c>
      <c r="C87" s="39" t="s">
        <v>170</v>
      </c>
      <c r="D87" s="50"/>
      <c r="E87" s="53"/>
      <c r="G87" s="50"/>
    </row>
    <row r="88" spans="2:8">
      <c r="B88" s="60">
        <f>'Quarterly Income'!F74</f>
        <v>0</v>
      </c>
      <c r="C88" s="46" t="s">
        <v>91</v>
      </c>
      <c r="D88" s="50"/>
      <c r="E88" s="53"/>
      <c r="G88" s="50"/>
    </row>
    <row r="89" spans="2:8">
      <c r="B89" s="66"/>
      <c r="C89" s="46"/>
      <c r="D89" s="50"/>
      <c r="E89" s="53"/>
      <c r="G89" s="50"/>
    </row>
    <row r="90" spans="2:8">
      <c r="B90" s="70">
        <f>IF(AND(B66 = 0,G76=0),0,(B87+G76)/B66)</f>
        <v>0</v>
      </c>
      <c r="C90" s="41" t="s">
        <v>72</v>
      </c>
      <c r="D90" s="50"/>
      <c r="E90" s="53"/>
      <c r="G90" s="50"/>
    </row>
    <row r="91" spans="2:8">
      <c r="B91" s="72">
        <f>MAX(G76+B87-B88,0)</f>
        <v>0</v>
      </c>
      <c r="C91" s="41" t="s">
        <v>73</v>
      </c>
      <c r="D91" s="50"/>
      <c r="E91" s="53"/>
      <c r="G91" s="50"/>
    </row>
    <row r="92" spans="2:8">
      <c r="B92" s="53"/>
      <c r="C92" s="53"/>
      <c r="D92" s="53"/>
      <c r="E92" s="53"/>
    </row>
    <row r="93" spans="2:8">
      <c r="B93" s="53"/>
      <c r="C93" s="53"/>
      <c r="D93" s="53"/>
      <c r="E93" s="53"/>
      <c r="H93" s="40"/>
    </row>
    <row r="94" spans="2:8">
      <c r="H94" s="40"/>
    </row>
    <row r="95" spans="2:8">
      <c r="H95" s="40"/>
    </row>
    <row r="96" spans="2:8">
      <c r="H96" s="40"/>
    </row>
    <row r="97" spans="8:8">
      <c r="H97" s="40"/>
    </row>
    <row r="98" spans="8:8">
      <c r="H98" s="40"/>
    </row>
    <row r="99" spans="8:8">
      <c r="H99" s="40"/>
    </row>
    <row r="100" spans="8:8">
      <c r="H100" s="40"/>
    </row>
  </sheetData>
  <phoneticPr fontId="1" type="noConversion"/>
  <hyperlinks>
    <hyperlink ref="G29" r:id="rId1"/>
    <hyperlink ref="G32" r:id="rId2"/>
  </hyperlinks>
  <pageMargins left="0.75" right="0.75" top="1" bottom="1" header="0.5" footer="0.5"/>
  <pageSetup scale="58" orientation="portrait" horizontalDpi="4294967293" verticalDpi="4294967293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pageSetUpPr fitToPage="1"/>
  </sheetPr>
  <dimension ref="B2:J52"/>
  <sheetViews>
    <sheetView showGridLines="0" zoomScale="125" zoomScaleNormal="125" zoomScalePageLayoutView="125" workbookViewId="0">
      <selection activeCell="E33" sqref="E33"/>
    </sheetView>
  </sheetViews>
  <sheetFormatPr baseColWidth="10" defaultColWidth="8.83203125" defaultRowHeight="12" x14ac:dyDescent="0"/>
  <cols>
    <col min="1" max="1" width="8.83203125" style="39"/>
    <col min="2" max="2" width="13.6640625" style="39" customWidth="1"/>
    <col min="3" max="3" width="15.33203125" style="39" customWidth="1"/>
    <col min="4" max="4" width="13.83203125" style="39" customWidth="1"/>
    <col min="5" max="5" width="14.33203125" style="39" customWidth="1"/>
    <col min="6" max="6" width="17.1640625" style="39" customWidth="1"/>
    <col min="7" max="8" width="15.33203125" style="39" customWidth="1"/>
    <col min="9" max="9" width="13.33203125" style="39" customWidth="1"/>
    <col min="10" max="10" width="12.6640625" style="39" customWidth="1"/>
    <col min="11" max="16384" width="8.83203125" style="39"/>
  </cols>
  <sheetData>
    <row r="2" spans="2:10" ht="15">
      <c r="B2" s="49" t="s">
        <v>114</v>
      </c>
      <c r="F2" s="43"/>
    </row>
    <row r="3" spans="2:10" ht="15">
      <c r="B3" s="140" t="s">
        <v>184</v>
      </c>
      <c r="F3" s="43"/>
      <c r="G3" s="24">
        <f>B33</f>
        <v>0</v>
      </c>
      <c r="H3" s="44" t="s">
        <v>87</v>
      </c>
      <c r="I3" s="70">
        <f>B36</f>
        <v>0</v>
      </c>
      <c r="J3" s="41" t="s">
        <v>81</v>
      </c>
    </row>
    <row r="4" spans="2:10" ht="15">
      <c r="B4" s="140" t="s">
        <v>185</v>
      </c>
      <c r="F4" s="43"/>
      <c r="G4" s="24">
        <f>B34</f>
        <v>0</v>
      </c>
      <c r="H4" s="46" t="s">
        <v>90</v>
      </c>
      <c r="I4" s="72">
        <f>B37</f>
        <v>0</v>
      </c>
      <c r="J4" s="41" t="s">
        <v>5</v>
      </c>
    </row>
    <row r="5" spans="2:10" ht="15">
      <c r="B5" s="49"/>
      <c r="F5" s="43"/>
    </row>
    <row r="7" spans="2:10">
      <c r="B7" s="58">
        <f>'Federal Income Tax'!B6+'Federal Income Tax'!B9</f>
        <v>0</v>
      </c>
      <c r="C7" s="39" t="s">
        <v>186</v>
      </c>
      <c r="D7" s="43"/>
      <c r="E7" s="43"/>
    </row>
    <row r="8" spans="2:10">
      <c r="B8" s="58">
        <f>'Federal Income Tax'!B26</f>
        <v>0</v>
      </c>
      <c r="C8" s="39" t="s">
        <v>96</v>
      </c>
      <c r="D8" s="43"/>
      <c r="E8" s="43"/>
    </row>
    <row r="9" spans="2:10">
      <c r="B9" s="38">
        <v>7100</v>
      </c>
      <c r="C9" s="45" t="s">
        <v>43</v>
      </c>
      <c r="E9" s="39" t="s">
        <v>182</v>
      </c>
      <c r="G9" s="43"/>
    </row>
    <row r="10" spans="2:10">
      <c r="B10" s="38">
        <v>7400</v>
      </c>
      <c r="C10" s="45" t="s">
        <v>113</v>
      </c>
      <c r="G10" s="43"/>
    </row>
    <row r="11" spans="2:10">
      <c r="B11" s="38">
        <v>0</v>
      </c>
      <c r="C11" s="45" t="s">
        <v>183</v>
      </c>
      <c r="G11" s="43"/>
    </row>
    <row r="12" spans="2:10">
      <c r="B12" s="58">
        <f>B7 - MAX( B7 - MIN(B11, 4000), 0)</f>
        <v>0</v>
      </c>
      <c r="C12" s="39" t="s">
        <v>188</v>
      </c>
      <c r="D12" s="43"/>
      <c r="G12" s="43"/>
    </row>
    <row r="13" spans="2:10">
      <c r="B13" s="58">
        <f>B8 - MAX( B8-B11+B12, 0)</f>
        <v>0</v>
      </c>
      <c r="C13" s="39" t="s">
        <v>189</v>
      </c>
      <c r="D13" s="43"/>
      <c r="G13" s="43"/>
    </row>
    <row r="14" spans="2:10">
      <c r="B14" s="58">
        <f>MAX(B7+B8-B9-B10-B12-B13,0)</f>
        <v>0</v>
      </c>
      <c r="C14" s="39" t="s">
        <v>187</v>
      </c>
      <c r="D14" s="43"/>
      <c r="G14" s="43"/>
    </row>
    <row r="15" spans="2:10">
      <c r="B15" s="47"/>
      <c r="D15" s="43"/>
      <c r="G15" s="43"/>
    </row>
    <row r="16" spans="2:10">
      <c r="B16" s="141">
        <f>VLOOKUP(B14,G26:J31,4) + (B14-VLOOKUP(B14,G26:J31,1))*VLOOKUP(B14,G26:J31,3)</f>
        <v>0</v>
      </c>
      <c r="C16" s="46" t="s">
        <v>62</v>
      </c>
      <c r="D16" s="43"/>
      <c r="G16" s="43"/>
    </row>
    <row r="17" spans="2:10">
      <c r="B17" s="70">
        <f>IF(B14=0,0,B16/B14)</f>
        <v>0</v>
      </c>
      <c r="C17" s="41" t="s">
        <v>133</v>
      </c>
      <c r="F17" s="43"/>
      <c r="G17" s="62"/>
    </row>
    <row r="18" spans="2:10">
      <c r="B18" s="47"/>
    </row>
    <row r="20" spans="2:10">
      <c r="B20" s="47"/>
    </row>
    <row r="21" spans="2:10" ht="15">
      <c r="B21" s="48" t="s">
        <v>54</v>
      </c>
    </row>
    <row r="22" spans="2:10">
      <c r="B22" s="20">
        <f xml:space="preserve"> 'Federal Income Tax'!B44+'Federal Income Tax'!B48</f>
        <v>0</v>
      </c>
      <c r="C22" s="39" t="s">
        <v>190</v>
      </c>
    </row>
    <row r="23" spans="2:10">
      <c r="B23" s="20">
        <f>'Federal Income Tax'!B73</f>
        <v>0</v>
      </c>
      <c r="C23" s="39" t="s">
        <v>191</v>
      </c>
      <c r="G23" s="78"/>
      <c r="H23" s="79"/>
      <c r="I23" s="79"/>
      <c r="J23" s="79"/>
    </row>
    <row r="24" spans="2:10" ht="15">
      <c r="B24" s="20">
        <f>MIN(B22, MIN(B11, 4000))</f>
        <v>0</v>
      </c>
      <c r="C24" s="39" t="s">
        <v>192</v>
      </c>
      <c r="G24" s="49" t="s">
        <v>57</v>
      </c>
      <c r="H24" s="79"/>
      <c r="I24" s="79"/>
      <c r="J24" s="79"/>
    </row>
    <row r="25" spans="2:10">
      <c r="B25" s="20">
        <f>MIN(B23, B11-B24)</f>
        <v>0</v>
      </c>
      <c r="C25" s="39" t="s">
        <v>193</v>
      </c>
      <c r="G25" s="78" t="s">
        <v>82</v>
      </c>
      <c r="H25" s="79" t="s">
        <v>83</v>
      </c>
      <c r="I25" s="79" t="s">
        <v>52</v>
      </c>
      <c r="J25" s="79" t="s">
        <v>53</v>
      </c>
    </row>
    <row r="26" spans="2:10">
      <c r="B26" s="20">
        <f>'Quarterly Income'!F67</f>
        <v>0</v>
      </c>
      <c r="C26" s="46" t="s">
        <v>37</v>
      </c>
      <c r="F26" s="41"/>
      <c r="G26" s="74">
        <v>0</v>
      </c>
      <c r="H26" s="77">
        <v>1000</v>
      </c>
      <c r="I26" s="75">
        <v>0.01</v>
      </c>
      <c r="J26" s="74">
        <v>0</v>
      </c>
    </row>
    <row r="27" spans="2:10">
      <c r="B27" s="53"/>
      <c r="C27" s="46"/>
      <c r="G27" s="74">
        <f>H26+1</f>
        <v>1001</v>
      </c>
      <c r="H27" s="77">
        <v>3000</v>
      </c>
      <c r="I27" s="75">
        <v>0.02</v>
      </c>
      <c r="J27" s="81">
        <f>CEILING((H26-G26)*I26+J26,0.5)</f>
        <v>10</v>
      </c>
    </row>
    <row r="28" spans="2:10">
      <c r="B28" s="20">
        <f>B22+B23-B24-B25-B26</f>
        <v>0</v>
      </c>
      <c r="C28" s="44" t="s">
        <v>88</v>
      </c>
      <c r="G28" s="74">
        <f>H27+1</f>
        <v>3001</v>
      </c>
      <c r="H28" s="77">
        <v>5000</v>
      </c>
      <c r="I28" s="75">
        <v>0.03</v>
      </c>
      <c r="J28" s="81">
        <f>CEILING((H27-G27)*I27+J27,0.5)</f>
        <v>50</v>
      </c>
    </row>
    <row r="29" spans="2:10">
      <c r="B29" s="31">
        <f>MAX(B28-B9-B10,0)</f>
        <v>0</v>
      </c>
      <c r="C29" s="44" t="s">
        <v>89</v>
      </c>
      <c r="G29" s="74">
        <f t="shared" ref="G29:G31" si="0">H28+1</f>
        <v>5001</v>
      </c>
      <c r="H29" s="77">
        <v>7000</v>
      </c>
      <c r="I29" s="75">
        <v>0.04</v>
      </c>
      <c r="J29" s="81">
        <f t="shared" ref="J29:J31" si="1">CEILING((H28-G28)*I28+J28,0.5)</f>
        <v>110</v>
      </c>
    </row>
    <row r="30" spans="2:10">
      <c r="B30" s="53"/>
      <c r="G30" s="74">
        <f t="shared" si="0"/>
        <v>7001</v>
      </c>
      <c r="H30" s="77">
        <v>10000</v>
      </c>
      <c r="I30" s="75">
        <v>0.05</v>
      </c>
      <c r="J30" s="81">
        <f t="shared" si="1"/>
        <v>190</v>
      </c>
    </row>
    <row r="31" spans="2:10">
      <c r="B31" s="53"/>
      <c r="G31" s="97">
        <f t="shared" si="0"/>
        <v>10001</v>
      </c>
      <c r="H31" s="98">
        <v>100000000</v>
      </c>
      <c r="I31" s="142">
        <v>5.7500000000000002E-2</v>
      </c>
      <c r="J31" s="99">
        <f t="shared" si="1"/>
        <v>340</v>
      </c>
    </row>
    <row r="32" spans="2:10" ht="15">
      <c r="B32" s="93" t="s">
        <v>60</v>
      </c>
      <c r="D32" s="42"/>
      <c r="G32" s="108" t="s">
        <v>181</v>
      </c>
      <c r="H32" s="100"/>
      <c r="I32" s="101"/>
      <c r="J32" s="102"/>
    </row>
    <row r="33" spans="2:10" ht="14" customHeight="1">
      <c r="B33" s="20">
        <f>B29*B17</f>
        <v>0</v>
      </c>
      <c r="C33" s="44" t="s">
        <v>87</v>
      </c>
      <c r="G33" s="43" t="s">
        <v>59</v>
      </c>
      <c r="H33" s="94"/>
      <c r="I33" s="95"/>
      <c r="J33" s="96"/>
    </row>
    <row r="34" spans="2:10" ht="14" customHeight="1">
      <c r="B34" s="20">
        <f>'Quarterly Income'!F78</f>
        <v>0</v>
      </c>
      <c r="C34" s="46" t="s">
        <v>90</v>
      </c>
      <c r="E34" s="41"/>
      <c r="G34" s="94" t="s">
        <v>180</v>
      </c>
      <c r="H34" s="94"/>
      <c r="I34" s="95"/>
      <c r="J34" s="96"/>
    </row>
    <row r="35" spans="2:10">
      <c r="B35" s="53"/>
      <c r="E35" s="59"/>
      <c r="G35" s="94"/>
      <c r="H35" s="94"/>
      <c r="I35" s="95"/>
      <c r="J35" s="96"/>
    </row>
    <row r="36" spans="2:10">
      <c r="B36" s="70">
        <f>IF(B29 = 0,0,B33/B29)</f>
        <v>0</v>
      </c>
      <c r="C36" s="41" t="s">
        <v>81</v>
      </c>
      <c r="D36" s="42"/>
      <c r="E36" s="43"/>
    </row>
    <row r="37" spans="2:10">
      <c r="B37" s="72">
        <f>MAX(0,B33-B34)</f>
        <v>0</v>
      </c>
      <c r="C37" s="41" t="s">
        <v>5</v>
      </c>
      <c r="E37" s="50"/>
    </row>
    <row r="40" spans="2:10">
      <c r="H40" s="40"/>
    </row>
    <row r="41" spans="2:10">
      <c r="H41" s="40"/>
    </row>
    <row r="42" spans="2:10">
      <c r="H42" s="40"/>
    </row>
    <row r="43" spans="2:10">
      <c r="H43" s="40"/>
    </row>
    <row r="44" spans="2:10">
      <c r="H44" s="40"/>
    </row>
    <row r="45" spans="2:10">
      <c r="H45" s="40"/>
    </row>
    <row r="46" spans="2:10">
      <c r="H46" s="40"/>
    </row>
    <row r="47" spans="2:10">
      <c r="H47" s="40"/>
    </row>
    <row r="48" spans="2:10">
      <c r="H48" s="40"/>
    </row>
    <row r="49" spans="8:8">
      <c r="H49" s="40"/>
    </row>
    <row r="50" spans="8:8">
      <c r="H50" s="40"/>
    </row>
    <row r="51" spans="8:8">
      <c r="H51" s="40"/>
    </row>
    <row r="52" spans="8:8">
      <c r="H52" s="40"/>
    </row>
  </sheetData>
  <phoneticPr fontId="1" type="noConversion"/>
  <pageMargins left="0.75" right="0.75" top="1" bottom="1" header="0.5" footer="0.5"/>
  <pageSetup scale="72" orientation="landscape" horizontalDpi="4294967293" verticalDpi="4294967293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pageSetUpPr fitToPage="1"/>
  </sheetPr>
  <dimension ref="B1:BA100"/>
  <sheetViews>
    <sheetView showGridLines="0" topLeftCell="B2" workbookViewId="0">
      <selection activeCell="K7" sqref="K7"/>
    </sheetView>
  </sheetViews>
  <sheetFormatPr baseColWidth="10" defaultColWidth="8.83203125" defaultRowHeight="12" x14ac:dyDescent="0"/>
  <cols>
    <col min="2" max="2" width="21.5" customWidth="1"/>
    <col min="3" max="3" width="11.5" customWidth="1"/>
    <col min="4" max="4" width="6.33203125" customWidth="1"/>
    <col min="5" max="5" width="3.5" customWidth="1"/>
    <col min="6" max="6" width="16.5" customWidth="1"/>
    <col min="8" max="8" width="17.5" customWidth="1"/>
    <col min="9" max="9" width="1.83203125" customWidth="1"/>
    <col min="10" max="10" width="8.83203125" style="29" customWidth="1"/>
    <col min="11" max="11" width="13.1640625" customWidth="1"/>
    <col min="12" max="12" width="10.6640625" customWidth="1"/>
    <col min="13" max="13" width="10.33203125" customWidth="1"/>
    <col min="14" max="14" width="11.6640625" customWidth="1"/>
    <col min="15" max="15" width="10.83203125" customWidth="1"/>
    <col min="16" max="20" width="11.1640625" customWidth="1"/>
    <col min="21" max="21" width="5.83203125" customWidth="1"/>
    <col min="22" max="22" width="12.5" customWidth="1"/>
    <col min="24" max="24" width="9.33203125" customWidth="1"/>
    <col min="25" max="25" width="11" customWidth="1"/>
    <col min="26" max="26" width="10" customWidth="1"/>
    <col min="27" max="31" width="12.33203125" customWidth="1"/>
    <col min="32" max="32" width="5.6640625" customWidth="1"/>
    <col min="33" max="33" width="12.6640625" customWidth="1"/>
    <col min="36" max="36" width="10.1640625" customWidth="1"/>
    <col min="37" max="37" width="9.1640625" bestFit="1" customWidth="1"/>
    <col min="38" max="42" width="10" customWidth="1"/>
    <col min="43" max="43" width="5.1640625" customWidth="1"/>
    <col min="44" max="44" width="12.1640625" customWidth="1"/>
    <col min="47" max="47" width="9" customWidth="1"/>
    <col min="48" max="48" width="9.1640625" bestFit="1" customWidth="1"/>
    <col min="49" max="50" width="10.83203125" customWidth="1"/>
    <col min="51" max="52" width="11.1640625" customWidth="1"/>
    <col min="53" max="53" width="13" customWidth="1"/>
  </cols>
  <sheetData>
    <row r="1" spans="2:52">
      <c r="C1" s="114"/>
    </row>
    <row r="2" spans="2:52" ht="15">
      <c r="B2" s="23" t="s">
        <v>27</v>
      </c>
    </row>
    <row r="3" spans="2:52">
      <c r="H3" s="5"/>
    </row>
    <row r="4" spans="2:52">
      <c r="B4" s="7" t="s">
        <v>171</v>
      </c>
      <c r="F4" s="7" t="s">
        <v>176</v>
      </c>
      <c r="K4" s="118" t="s">
        <v>121</v>
      </c>
      <c r="V4" s="118" t="s">
        <v>122</v>
      </c>
      <c r="AG4" s="118" t="s">
        <v>125</v>
      </c>
    </row>
    <row r="5" spans="2:52" ht="13" thickBot="1">
      <c r="B5" s="9" t="s">
        <v>15</v>
      </c>
      <c r="C5" s="19" t="s">
        <v>14</v>
      </c>
      <c r="D5" s="10"/>
      <c r="E5" s="10"/>
      <c r="F5" s="19" t="s">
        <v>13</v>
      </c>
      <c r="K5" s="118" t="s">
        <v>118</v>
      </c>
      <c r="L5" s="7" t="s">
        <v>6</v>
      </c>
      <c r="M5" s="7" t="s">
        <v>7</v>
      </c>
      <c r="N5" s="7" t="s">
        <v>115</v>
      </c>
      <c r="O5" s="7" t="s">
        <v>116</v>
      </c>
      <c r="P5" s="7" t="s">
        <v>117</v>
      </c>
      <c r="Q5" s="7" t="s">
        <v>194</v>
      </c>
      <c r="R5" s="7" t="s">
        <v>198</v>
      </c>
      <c r="S5" s="7" t="s">
        <v>199</v>
      </c>
      <c r="T5" s="7" t="s">
        <v>195</v>
      </c>
      <c r="V5" s="118" t="s">
        <v>118</v>
      </c>
      <c r="W5" s="7" t="s">
        <v>6</v>
      </c>
      <c r="X5" s="7" t="s">
        <v>7</v>
      </c>
      <c r="Y5" s="7" t="s">
        <v>115</v>
      </c>
      <c r="Z5" s="7" t="s">
        <v>116</v>
      </c>
      <c r="AA5" s="7" t="s">
        <v>117</v>
      </c>
      <c r="AB5" s="7" t="s">
        <v>194</v>
      </c>
      <c r="AC5" s="7" t="s">
        <v>198</v>
      </c>
      <c r="AD5" s="7" t="s">
        <v>199</v>
      </c>
      <c r="AE5" s="7" t="s">
        <v>195</v>
      </c>
      <c r="AG5" s="118" t="s">
        <v>118</v>
      </c>
      <c r="AH5" s="7" t="s">
        <v>6</v>
      </c>
      <c r="AI5" s="7" t="s">
        <v>7</v>
      </c>
      <c r="AJ5" s="7" t="s">
        <v>115</v>
      </c>
      <c r="AK5" s="7" t="s">
        <v>116</v>
      </c>
      <c r="AL5" s="7" t="s">
        <v>117</v>
      </c>
      <c r="AM5" s="7" t="s">
        <v>194</v>
      </c>
      <c r="AN5" s="7" t="s">
        <v>198</v>
      </c>
      <c r="AO5" s="7" t="s">
        <v>199</v>
      </c>
      <c r="AP5" s="7" t="s">
        <v>195</v>
      </c>
    </row>
    <row r="6" spans="2:52">
      <c r="B6" s="11" t="s">
        <v>16</v>
      </c>
      <c r="C6" s="20">
        <f>SUM(Q6:Q19+AB6:AB19+AM6:AM19)</f>
        <v>0</v>
      </c>
      <c r="D6" s="139"/>
      <c r="E6" s="11"/>
      <c r="F6" s="20">
        <f t="shared" ref="F6:F12" si="0">C6</f>
        <v>0</v>
      </c>
      <c r="K6" s="132" t="s">
        <v>143</v>
      </c>
      <c r="L6" s="127"/>
      <c r="M6" s="120"/>
      <c r="N6" s="120"/>
      <c r="O6" s="120"/>
      <c r="P6" s="120"/>
      <c r="Q6" s="150"/>
      <c r="R6" s="160"/>
      <c r="S6" s="160"/>
      <c r="T6" s="151"/>
      <c r="U6" s="53"/>
      <c r="V6" s="170" t="str">
        <f>K6</f>
        <v>Brokerage 1</v>
      </c>
      <c r="W6" s="127"/>
      <c r="X6" s="120"/>
      <c r="Y6" s="120"/>
      <c r="Z6" s="120"/>
      <c r="AA6" s="120"/>
      <c r="AB6" s="168"/>
      <c r="AC6" s="169"/>
      <c r="AD6" s="169"/>
      <c r="AE6" s="167"/>
      <c r="AF6" s="53"/>
      <c r="AG6" s="170" t="str">
        <f>K6</f>
        <v>Brokerage 1</v>
      </c>
      <c r="AH6" s="154"/>
      <c r="AI6" s="155"/>
      <c r="AJ6" s="155"/>
      <c r="AK6" s="155"/>
      <c r="AL6" s="155"/>
      <c r="AM6" s="168"/>
      <c r="AN6" s="169"/>
      <c r="AO6" s="169"/>
      <c r="AP6" s="167"/>
      <c r="AQ6" s="53"/>
    </row>
    <row r="7" spans="2:52">
      <c r="B7" s="15" t="s">
        <v>51</v>
      </c>
      <c r="C7" s="20">
        <f>SUM(T6:T19+AE6:AE19+AP6:AP19)</f>
        <v>0</v>
      </c>
      <c r="D7" s="139"/>
      <c r="E7" s="11"/>
      <c r="F7" s="20">
        <f t="shared" si="0"/>
        <v>0</v>
      </c>
      <c r="H7" s="22"/>
      <c r="K7" s="132" t="s">
        <v>144</v>
      </c>
      <c r="L7" s="128"/>
      <c r="M7" s="105"/>
      <c r="N7" s="105"/>
      <c r="O7" s="105"/>
      <c r="P7" s="105"/>
      <c r="Q7" s="105"/>
      <c r="R7" s="161"/>
      <c r="S7" s="161"/>
      <c r="T7" s="121"/>
      <c r="U7" s="53"/>
      <c r="V7" s="170" t="str">
        <f>K7</f>
        <v>Brokerage 2</v>
      </c>
      <c r="W7" s="152"/>
      <c r="X7" s="116"/>
      <c r="Y7" s="116"/>
      <c r="Z7" s="116"/>
      <c r="AA7" s="116"/>
      <c r="AB7" s="116"/>
      <c r="AC7" s="165"/>
      <c r="AD7" s="165"/>
      <c r="AE7" s="147"/>
      <c r="AF7" s="53"/>
      <c r="AG7" s="170" t="str">
        <f>K7</f>
        <v>Brokerage 2</v>
      </c>
      <c r="AH7" s="156"/>
      <c r="AI7" s="119"/>
      <c r="AJ7" s="119"/>
      <c r="AK7" s="119"/>
      <c r="AL7" s="119"/>
      <c r="AM7" s="116"/>
      <c r="AN7" s="165"/>
      <c r="AO7" s="165"/>
      <c r="AP7" s="147"/>
      <c r="AQ7" s="53"/>
    </row>
    <row r="8" spans="2:52">
      <c r="B8" s="11" t="s">
        <v>6</v>
      </c>
      <c r="C8" s="20">
        <f>SUM(L6:L19,W6:W19,AH6:AH19)</f>
        <v>0</v>
      </c>
      <c r="D8" s="12"/>
      <c r="E8" s="11"/>
      <c r="F8" s="20">
        <f t="shared" si="0"/>
        <v>0</v>
      </c>
      <c r="H8" s="1"/>
      <c r="K8" s="132" t="s">
        <v>145</v>
      </c>
      <c r="L8" s="129"/>
      <c r="M8" s="103"/>
      <c r="N8" s="103"/>
      <c r="O8" s="103"/>
      <c r="P8" s="103"/>
      <c r="Q8" s="105"/>
      <c r="R8" s="161"/>
      <c r="S8" s="161"/>
      <c r="T8" s="121"/>
      <c r="U8" s="53"/>
      <c r="V8" s="170" t="str">
        <f>K8</f>
        <v>401K</v>
      </c>
      <c r="W8" s="129"/>
      <c r="X8" s="103"/>
      <c r="Y8" s="103"/>
      <c r="Z8" s="103"/>
      <c r="AA8" s="103"/>
      <c r="AB8" s="116"/>
      <c r="AC8" s="165"/>
      <c r="AD8" s="165"/>
      <c r="AE8" s="147"/>
      <c r="AF8" s="53"/>
      <c r="AG8" s="170" t="str">
        <f>K8</f>
        <v>401K</v>
      </c>
      <c r="AH8" s="157"/>
      <c r="AI8" s="104"/>
      <c r="AJ8" s="104"/>
      <c r="AK8" s="104"/>
      <c r="AL8" s="104"/>
      <c r="AM8" s="116"/>
      <c r="AN8" s="165"/>
      <c r="AO8" s="165"/>
      <c r="AP8" s="147"/>
      <c r="AQ8" s="53"/>
    </row>
    <row r="9" spans="2:52">
      <c r="B9" s="11" t="s">
        <v>7</v>
      </c>
      <c r="C9" s="20">
        <f>SUM(X6:X19,M6:M19,AI6:AI19)</f>
        <v>0</v>
      </c>
      <c r="D9" s="12"/>
      <c r="E9" s="11"/>
      <c r="F9" s="20">
        <f t="shared" si="0"/>
        <v>0</v>
      </c>
      <c r="G9" s="110" t="s">
        <v>139</v>
      </c>
      <c r="H9" s="110"/>
      <c r="K9" s="132" t="s">
        <v>146</v>
      </c>
      <c r="L9" s="128"/>
      <c r="M9" s="105"/>
      <c r="N9" s="105"/>
      <c r="O9" s="105"/>
      <c r="P9" s="105"/>
      <c r="Q9" s="105"/>
      <c r="R9" s="161"/>
      <c r="S9" s="161"/>
      <c r="T9" s="121"/>
      <c r="U9" s="53"/>
      <c r="V9" s="170" t="str">
        <f>K9</f>
        <v>IRA</v>
      </c>
      <c r="W9" s="152"/>
      <c r="X9" s="116"/>
      <c r="Y9" s="116"/>
      <c r="Z9" s="116"/>
      <c r="AA9" s="116"/>
      <c r="AB9" s="116"/>
      <c r="AC9" s="165"/>
      <c r="AD9" s="165"/>
      <c r="AE9" s="147"/>
      <c r="AF9" s="53"/>
      <c r="AG9" s="170" t="str">
        <f>K9</f>
        <v>IRA</v>
      </c>
      <c r="AH9" s="156"/>
      <c r="AI9" s="119"/>
      <c r="AJ9" s="119"/>
      <c r="AK9" s="119"/>
      <c r="AL9" s="119"/>
      <c r="AM9" s="116"/>
      <c r="AN9" s="165"/>
      <c r="AO9" s="165"/>
      <c r="AP9" s="147"/>
      <c r="AQ9" s="53"/>
    </row>
    <row r="10" spans="2:52">
      <c r="B10" s="15" t="s">
        <v>37</v>
      </c>
      <c r="C10" s="20">
        <f>SUM(N6:N19,Y6:Y19,AJ6:AJ19)</f>
        <v>0</v>
      </c>
      <c r="D10" s="12"/>
      <c r="E10" s="11"/>
      <c r="F10" s="20">
        <f t="shared" si="0"/>
        <v>0</v>
      </c>
      <c r="H10" s="1"/>
      <c r="K10" s="132" t="s">
        <v>147</v>
      </c>
      <c r="L10" s="129"/>
      <c r="M10" s="103"/>
      <c r="N10" s="103"/>
      <c r="O10" s="103"/>
      <c r="P10" s="103"/>
      <c r="Q10" s="105"/>
      <c r="R10" s="161"/>
      <c r="S10" s="161"/>
      <c r="T10" s="121"/>
      <c r="U10" s="53"/>
      <c r="V10" s="170" t="str">
        <f>K10</f>
        <v>Mutual Fund 1</v>
      </c>
      <c r="W10" s="129"/>
      <c r="X10" s="103"/>
      <c r="Y10" s="103"/>
      <c r="Z10" s="103"/>
      <c r="AA10" s="103"/>
      <c r="AB10" s="116"/>
      <c r="AC10" s="165"/>
      <c r="AD10" s="165"/>
      <c r="AE10" s="147"/>
      <c r="AF10" s="53"/>
      <c r="AG10" s="170" t="str">
        <f>K10</f>
        <v>Mutual Fund 1</v>
      </c>
      <c r="AH10" s="157"/>
      <c r="AI10" s="104"/>
      <c r="AJ10" s="104"/>
      <c r="AK10" s="104"/>
      <c r="AL10" s="104"/>
      <c r="AM10" s="116"/>
      <c r="AN10" s="165"/>
      <c r="AO10" s="165"/>
      <c r="AP10" s="147"/>
      <c r="AQ10" s="53"/>
    </row>
    <row r="11" spans="2:52">
      <c r="B11" s="11" t="s">
        <v>17</v>
      </c>
      <c r="C11" s="20">
        <f>SUM(O6:O19,Z6:Z19,AK6:AK19)</f>
        <v>0</v>
      </c>
      <c r="D11" s="12"/>
      <c r="E11" s="11"/>
      <c r="F11" s="20">
        <f t="shared" si="0"/>
        <v>0</v>
      </c>
      <c r="H11" s="1"/>
      <c r="K11" s="132" t="s">
        <v>148</v>
      </c>
      <c r="L11" s="129"/>
      <c r="M11" s="103"/>
      <c r="N11" s="103"/>
      <c r="O11" s="103"/>
      <c r="P11" s="103"/>
      <c r="Q11" s="105"/>
      <c r="R11" s="161"/>
      <c r="S11" s="161"/>
      <c r="T11" s="121"/>
      <c r="U11" s="53"/>
      <c r="V11" s="170" t="str">
        <f>K11</f>
        <v>Mut Fund 2</v>
      </c>
      <c r="W11" s="129"/>
      <c r="X11" s="103"/>
      <c r="Y11" s="103"/>
      <c r="Z11" s="103"/>
      <c r="AA11" s="103"/>
      <c r="AB11" s="116"/>
      <c r="AC11" s="165"/>
      <c r="AD11" s="165"/>
      <c r="AE11" s="147"/>
      <c r="AF11" s="53"/>
      <c r="AG11" s="170" t="str">
        <f>K11</f>
        <v>Mut Fund 2</v>
      </c>
      <c r="AH11" s="157"/>
      <c r="AI11" s="104"/>
      <c r="AJ11" s="104"/>
      <c r="AK11" s="104"/>
      <c r="AL11" s="104"/>
      <c r="AM11" s="116"/>
      <c r="AN11" s="165"/>
      <c r="AO11" s="165"/>
      <c r="AP11" s="147"/>
      <c r="AQ11" s="53"/>
    </row>
    <row r="12" spans="2:52">
      <c r="B12" s="11" t="s">
        <v>26</v>
      </c>
      <c r="C12" s="20">
        <f>SUM(P6:P19,AA6:AA19,AL6:AL19)</f>
        <v>0</v>
      </c>
      <c r="D12" s="12"/>
      <c r="E12" s="11"/>
      <c r="F12" s="20">
        <f t="shared" si="0"/>
        <v>0</v>
      </c>
      <c r="K12" s="132" t="s">
        <v>149</v>
      </c>
      <c r="L12" s="128"/>
      <c r="M12" s="103"/>
      <c r="N12" s="105"/>
      <c r="O12" s="105"/>
      <c r="P12" s="105"/>
      <c r="Q12" s="105"/>
      <c r="R12" s="161"/>
      <c r="S12" s="161"/>
      <c r="T12" s="121"/>
      <c r="U12" s="114"/>
      <c r="V12" s="146" t="str">
        <f>K12</f>
        <v>Bank 1</v>
      </c>
      <c r="W12" s="152"/>
      <c r="X12" s="103"/>
      <c r="Y12" s="116"/>
      <c r="Z12" s="116"/>
      <c r="AA12" s="116"/>
      <c r="AB12" s="116"/>
      <c r="AC12" s="165"/>
      <c r="AD12" s="165"/>
      <c r="AE12" s="147"/>
      <c r="AF12" s="53"/>
      <c r="AG12" s="170" t="str">
        <f>K12</f>
        <v>Bank 1</v>
      </c>
      <c r="AH12" s="156"/>
      <c r="AI12" s="104"/>
      <c r="AJ12" s="119"/>
      <c r="AK12" s="119"/>
      <c r="AL12" s="119"/>
      <c r="AM12" s="116"/>
      <c r="AN12" s="165"/>
      <c r="AO12" s="165"/>
      <c r="AP12" s="147"/>
      <c r="AQ12" s="53"/>
    </row>
    <row r="13" spans="2:52">
      <c r="B13" s="14" t="s">
        <v>8</v>
      </c>
      <c r="C13" s="20">
        <f>SUM(C6:C12)</f>
        <v>0</v>
      </c>
      <c r="D13" s="12"/>
      <c r="E13" s="15"/>
      <c r="F13" s="20">
        <f>SUM(F6:F12)</f>
        <v>0</v>
      </c>
      <c r="K13" s="132" t="s">
        <v>150</v>
      </c>
      <c r="L13" s="128"/>
      <c r="M13" s="103"/>
      <c r="N13" s="105"/>
      <c r="O13" s="105"/>
      <c r="P13" s="105"/>
      <c r="Q13" s="105"/>
      <c r="R13" s="161"/>
      <c r="S13" s="161"/>
      <c r="T13" s="121"/>
      <c r="U13" s="114"/>
      <c r="V13" s="146" t="str">
        <f>K13</f>
        <v>Credit Union</v>
      </c>
      <c r="W13" s="152"/>
      <c r="X13" s="103"/>
      <c r="Y13" s="116"/>
      <c r="Z13" s="116"/>
      <c r="AA13" s="116"/>
      <c r="AB13" s="116"/>
      <c r="AC13" s="165"/>
      <c r="AD13" s="165"/>
      <c r="AE13" s="147"/>
      <c r="AF13" s="53"/>
      <c r="AG13" s="170" t="str">
        <f>K13</f>
        <v>Credit Union</v>
      </c>
      <c r="AH13" s="156"/>
      <c r="AI13" s="104"/>
      <c r="AJ13" s="119"/>
      <c r="AK13" s="119"/>
      <c r="AL13" s="119"/>
      <c r="AM13" s="116"/>
      <c r="AN13" s="165"/>
      <c r="AO13" s="165"/>
      <c r="AP13" s="147"/>
      <c r="AQ13" s="53"/>
    </row>
    <row r="14" spans="2:52">
      <c r="B14" s="14"/>
      <c r="C14" s="12"/>
      <c r="D14" s="12"/>
      <c r="E14" s="15"/>
      <c r="F14" s="12"/>
      <c r="K14" s="132" t="s">
        <v>151</v>
      </c>
      <c r="L14" s="130"/>
      <c r="M14" s="105"/>
      <c r="N14" s="105"/>
      <c r="O14" s="105"/>
      <c r="P14" s="105"/>
      <c r="Q14" s="105"/>
      <c r="R14" s="161"/>
      <c r="S14" s="161"/>
      <c r="T14" s="147"/>
      <c r="U14" s="114"/>
      <c r="V14" s="146" t="str">
        <f>K14</f>
        <v>Credit Card</v>
      </c>
      <c r="W14" s="152"/>
      <c r="X14" s="116"/>
      <c r="Y14" s="116"/>
      <c r="Z14" s="116"/>
      <c r="AA14" s="116"/>
      <c r="AB14" s="116"/>
      <c r="AC14" s="165"/>
      <c r="AD14" s="165"/>
      <c r="AE14" s="147"/>
      <c r="AF14" s="53"/>
      <c r="AG14" s="170" t="str">
        <f>K14</f>
        <v>Credit Card</v>
      </c>
      <c r="AH14" s="156"/>
      <c r="AI14" s="119"/>
      <c r="AJ14" s="119"/>
      <c r="AK14" s="119"/>
      <c r="AL14" s="119"/>
      <c r="AM14" s="116"/>
      <c r="AN14" s="165"/>
      <c r="AO14" s="165"/>
      <c r="AP14" s="147"/>
      <c r="AQ14" s="53"/>
    </row>
    <row r="15" spans="2:52">
      <c r="B15" s="14" t="s">
        <v>9</v>
      </c>
      <c r="C15" s="20">
        <f>SUM(R6:R19+AC6:AC19+AN6:AN19)</f>
        <v>0</v>
      </c>
      <c r="D15" s="12"/>
      <c r="E15" s="15"/>
      <c r="F15" s="20">
        <f>C15</f>
        <v>0</v>
      </c>
      <c r="K15" s="132" t="s">
        <v>152</v>
      </c>
      <c r="L15" s="129"/>
      <c r="M15" s="115"/>
      <c r="N15" s="115"/>
      <c r="O15" s="115"/>
      <c r="P15" s="115"/>
      <c r="Q15" s="115"/>
      <c r="R15" s="162"/>
      <c r="S15" s="161"/>
      <c r="T15" s="147"/>
      <c r="U15" s="114"/>
      <c r="V15" s="146" t="str">
        <f>K15</f>
        <v>Grants</v>
      </c>
      <c r="W15" s="129"/>
      <c r="X15" s="116"/>
      <c r="Y15" s="116"/>
      <c r="Z15" s="116"/>
      <c r="AA15" s="116"/>
      <c r="AB15" s="116"/>
      <c r="AC15" s="165"/>
      <c r="AD15" s="165"/>
      <c r="AE15" s="147"/>
      <c r="AF15" s="53"/>
      <c r="AG15" s="170" t="str">
        <f>K15</f>
        <v>Grants</v>
      </c>
      <c r="AH15" s="157"/>
      <c r="AI15" s="119"/>
      <c r="AJ15" s="119"/>
      <c r="AK15" s="119"/>
      <c r="AL15" s="119"/>
      <c r="AM15" s="116"/>
      <c r="AN15" s="165"/>
      <c r="AO15" s="165"/>
      <c r="AP15" s="147"/>
      <c r="AQ15" s="53"/>
    </row>
    <row r="16" spans="2:52">
      <c r="B16" s="16" t="s">
        <v>11</v>
      </c>
      <c r="C16" s="21"/>
      <c r="D16" s="13"/>
      <c r="E16" s="16"/>
      <c r="F16" s="20">
        <f>C16</f>
        <v>0</v>
      </c>
      <c r="G16" t="s">
        <v>136</v>
      </c>
      <c r="H16" s="111" t="s">
        <v>175</v>
      </c>
      <c r="J16" s="37"/>
      <c r="K16" s="132" t="s">
        <v>153</v>
      </c>
      <c r="L16" s="128"/>
      <c r="M16" s="115"/>
      <c r="N16" s="115"/>
      <c r="O16" s="115"/>
      <c r="P16" s="115"/>
      <c r="Q16" s="115"/>
      <c r="R16" s="162"/>
      <c r="S16" s="165"/>
      <c r="T16" s="147"/>
      <c r="U16" s="114"/>
      <c r="V16" s="146" t="str">
        <f>K16</f>
        <v>Options</v>
      </c>
      <c r="W16" s="152"/>
      <c r="X16" s="116"/>
      <c r="Y16" s="116"/>
      <c r="Z16" s="116"/>
      <c r="AA16" s="116"/>
      <c r="AB16" s="116"/>
      <c r="AC16" s="165"/>
      <c r="AD16" s="165"/>
      <c r="AE16" s="147"/>
      <c r="AF16" s="53"/>
      <c r="AG16" s="170" t="str">
        <f>K16</f>
        <v>Options</v>
      </c>
      <c r="AH16" s="156"/>
      <c r="AI16" s="119"/>
      <c r="AJ16" s="119"/>
      <c r="AK16" s="119"/>
      <c r="AL16" s="119"/>
      <c r="AM16" s="116"/>
      <c r="AN16" s="165"/>
      <c r="AO16" s="165"/>
      <c r="AP16" s="147"/>
      <c r="AQ16" s="53"/>
      <c r="AR16" s="5"/>
      <c r="AS16" s="5"/>
      <c r="AT16" s="5"/>
      <c r="AU16" s="5"/>
      <c r="AV16" s="5"/>
      <c r="AW16" s="114"/>
      <c r="AX16" s="114"/>
      <c r="AY16" s="114"/>
      <c r="AZ16" s="114"/>
    </row>
    <row r="17" spans="2:49">
      <c r="B17" s="14" t="s">
        <v>8</v>
      </c>
      <c r="C17" s="20">
        <f>SUM(C15:C16)</f>
        <v>0</v>
      </c>
      <c r="D17" s="12"/>
      <c r="E17" s="15"/>
      <c r="F17" s="20">
        <f>SUM(F15:F16)</f>
        <v>0</v>
      </c>
      <c r="K17" s="132" t="s">
        <v>196</v>
      </c>
      <c r="L17" s="130"/>
      <c r="M17" s="115"/>
      <c r="N17" s="105"/>
      <c r="O17" s="105"/>
      <c r="P17" s="105"/>
      <c r="Q17" s="103"/>
      <c r="R17" s="163"/>
      <c r="S17" s="163"/>
      <c r="T17" s="121"/>
      <c r="U17" s="114"/>
      <c r="V17" s="146" t="str">
        <f>K17</f>
        <v>Job</v>
      </c>
      <c r="W17" s="152"/>
      <c r="X17" s="116"/>
      <c r="Y17" s="116"/>
      <c r="Z17" s="116"/>
      <c r="AA17" s="116"/>
      <c r="AB17" s="103"/>
      <c r="AC17" s="163"/>
      <c r="AD17" s="163"/>
      <c r="AE17" s="147"/>
      <c r="AF17" s="53"/>
      <c r="AG17" s="170" t="str">
        <f>K17</f>
        <v>Job</v>
      </c>
      <c r="AH17" s="156"/>
      <c r="AI17" s="119"/>
      <c r="AJ17" s="119"/>
      <c r="AK17" s="119"/>
      <c r="AL17" s="119"/>
      <c r="AM17" s="103"/>
      <c r="AN17" s="163"/>
      <c r="AO17" s="163"/>
      <c r="AP17" s="147"/>
      <c r="AQ17" s="53"/>
      <c r="AR17" s="5"/>
      <c r="AS17" s="5"/>
      <c r="AT17" s="5"/>
      <c r="AU17" s="5"/>
      <c r="AV17" s="5"/>
      <c r="AW17" s="114"/>
    </row>
    <row r="18" spans="2:49">
      <c r="B18" s="17"/>
      <c r="C18" s="12"/>
      <c r="D18" s="12"/>
      <c r="E18" s="15"/>
      <c r="F18" s="12"/>
      <c r="K18" s="132" t="s">
        <v>197</v>
      </c>
      <c r="L18" s="128"/>
      <c r="M18" s="115"/>
      <c r="N18" s="115"/>
      <c r="O18" s="115"/>
      <c r="P18" s="115"/>
      <c r="Q18" s="115"/>
      <c r="R18" s="162"/>
      <c r="S18" s="165"/>
      <c r="T18" s="122"/>
      <c r="U18" s="114"/>
      <c r="V18" s="146" t="str">
        <f>K18</f>
        <v>Contract Job</v>
      </c>
      <c r="W18" s="152"/>
      <c r="X18" s="116"/>
      <c r="Y18" s="116"/>
      <c r="Z18" s="116"/>
      <c r="AA18" s="116"/>
      <c r="AB18" s="116"/>
      <c r="AC18" s="165"/>
      <c r="AD18" s="165"/>
      <c r="AE18" s="122"/>
      <c r="AF18" s="53"/>
      <c r="AG18" s="170" t="str">
        <f>K18</f>
        <v>Contract Job</v>
      </c>
      <c r="AH18" s="156"/>
      <c r="AI18" s="119"/>
      <c r="AJ18" s="119"/>
      <c r="AK18" s="119"/>
      <c r="AL18" s="119"/>
      <c r="AM18" s="116"/>
      <c r="AN18" s="165"/>
      <c r="AO18" s="165"/>
      <c r="AP18" s="122"/>
      <c r="AQ18" s="53"/>
      <c r="AR18" s="5"/>
      <c r="AS18" s="5"/>
      <c r="AT18" s="5"/>
      <c r="AU18" s="5"/>
      <c r="AV18" s="5"/>
    </row>
    <row r="19" spans="2:49" ht="13" thickBot="1">
      <c r="B19" s="14" t="s">
        <v>10</v>
      </c>
      <c r="C19" s="20">
        <f>SUM(S6:S19+AD6:AD19+AO6:AO19)</f>
        <v>0</v>
      </c>
      <c r="D19" s="12"/>
      <c r="E19" s="15"/>
      <c r="F19" s="20">
        <f>C19</f>
        <v>0</v>
      </c>
      <c r="H19" s="22"/>
      <c r="K19" s="132"/>
      <c r="L19" s="131"/>
      <c r="M19" s="123"/>
      <c r="N19" s="123"/>
      <c r="O19" s="123"/>
      <c r="P19" s="123"/>
      <c r="Q19" s="123"/>
      <c r="R19" s="164"/>
      <c r="S19" s="166"/>
      <c r="T19" s="149"/>
      <c r="U19" s="114"/>
      <c r="V19" s="146">
        <f>K19</f>
        <v>0</v>
      </c>
      <c r="W19" s="153"/>
      <c r="X19" s="148"/>
      <c r="Y19" s="148"/>
      <c r="Z19" s="148"/>
      <c r="AA19" s="148"/>
      <c r="AB19" s="148"/>
      <c r="AC19" s="166"/>
      <c r="AD19" s="166"/>
      <c r="AE19" s="149"/>
      <c r="AF19" s="53"/>
      <c r="AG19" s="170">
        <f>K19</f>
        <v>0</v>
      </c>
      <c r="AH19" s="158"/>
      <c r="AI19" s="159"/>
      <c r="AJ19" s="159"/>
      <c r="AK19" s="159"/>
      <c r="AL19" s="159"/>
      <c r="AM19" s="148"/>
      <c r="AN19" s="166"/>
      <c r="AO19" s="166"/>
      <c r="AP19" s="149"/>
      <c r="AQ19" s="53"/>
    </row>
    <row r="20" spans="2:49">
      <c r="B20" s="18" t="s">
        <v>12</v>
      </c>
      <c r="C20" s="21"/>
      <c r="D20" s="13"/>
      <c r="E20" s="16"/>
      <c r="F20" s="20">
        <f>C20</f>
        <v>0</v>
      </c>
      <c r="G20" t="s">
        <v>136</v>
      </c>
      <c r="H20" s="113"/>
      <c r="J20" s="36"/>
      <c r="K20" s="125" t="s">
        <v>138</v>
      </c>
      <c r="V20" s="124"/>
      <c r="AF20" s="53"/>
      <c r="AG20" s="171"/>
      <c r="AM20" s="53"/>
      <c r="AN20" s="53"/>
      <c r="AO20" s="53"/>
      <c r="AP20" s="53"/>
      <c r="AQ20" s="53"/>
    </row>
    <row r="21" spans="2:49">
      <c r="B21" s="14" t="s">
        <v>8</v>
      </c>
      <c r="C21" s="20">
        <f>SUM(C19:C20)</f>
        <v>0</v>
      </c>
      <c r="D21" s="11"/>
      <c r="E21" s="15"/>
      <c r="F21" s="20">
        <f>SUM(F19:F20)</f>
        <v>0</v>
      </c>
      <c r="K21" s="125" t="s">
        <v>141</v>
      </c>
      <c r="V21" s="124"/>
      <c r="AF21" s="53"/>
      <c r="AG21" s="171"/>
      <c r="AM21" s="53"/>
      <c r="AN21" s="53"/>
      <c r="AO21" s="53"/>
      <c r="AP21" s="53"/>
      <c r="AQ21" s="53"/>
    </row>
    <row r="22" spans="2:49">
      <c r="B22" s="3"/>
      <c r="C22" s="4"/>
      <c r="D22" s="5"/>
      <c r="E22" s="6"/>
      <c r="F22" s="4"/>
      <c r="K22" s="124"/>
      <c r="V22" s="124"/>
      <c r="AF22" s="53"/>
      <c r="AG22" s="171"/>
      <c r="AM22" s="53"/>
      <c r="AN22" s="53"/>
      <c r="AO22" s="53"/>
      <c r="AP22" s="53"/>
      <c r="AQ22" s="53"/>
    </row>
    <row r="23" spans="2:49">
      <c r="B23" s="8" t="s">
        <v>172</v>
      </c>
      <c r="F23" s="7" t="s">
        <v>177</v>
      </c>
      <c r="K23" s="118" t="s">
        <v>123</v>
      </c>
      <c r="V23" s="118" t="s">
        <v>124</v>
      </c>
      <c r="AF23" s="53"/>
      <c r="AG23" s="171"/>
      <c r="AM23" s="53"/>
      <c r="AN23" s="53"/>
      <c r="AO23" s="53"/>
      <c r="AP23" s="53"/>
      <c r="AQ23" s="53"/>
    </row>
    <row r="24" spans="2:49" ht="13" thickBot="1">
      <c r="B24" s="9" t="s">
        <v>15</v>
      </c>
      <c r="C24" s="19" t="s">
        <v>14</v>
      </c>
      <c r="D24" s="10"/>
      <c r="E24" s="10"/>
      <c r="F24" s="19" t="s">
        <v>13</v>
      </c>
      <c r="K24" s="118" t="s">
        <v>118</v>
      </c>
      <c r="L24" s="7" t="s">
        <v>6</v>
      </c>
      <c r="M24" s="7" t="s">
        <v>7</v>
      </c>
      <c r="N24" s="7" t="s">
        <v>115</v>
      </c>
      <c r="O24" s="7" t="s">
        <v>116</v>
      </c>
      <c r="P24" s="7" t="s">
        <v>117</v>
      </c>
      <c r="Q24" s="7" t="s">
        <v>194</v>
      </c>
      <c r="R24" s="7" t="s">
        <v>198</v>
      </c>
      <c r="S24" s="7" t="s">
        <v>199</v>
      </c>
      <c r="T24" s="7" t="s">
        <v>195</v>
      </c>
      <c r="V24" s="118" t="s">
        <v>118</v>
      </c>
      <c r="W24" s="7" t="s">
        <v>6</v>
      </c>
      <c r="X24" s="7" t="s">
        <v>7</v>
      </c>
      <c r="Y24" s="7" t="s">
        <v>115</v>
      </c>
      <c r="Z24" s="7" t="s">
        <v>116</v>
      </c>
      <c r="AA24" s="7" t="s">
        <v>117</v>
      </c>
      <c r="AB24" s="7" t="s">
        <v>194</v>
      </c>
      <c r="AC24" s="7" t="s">
        <v>198</v>
      </c>
      <c r="AD24" s="7" t="s">
        <v>199</v>
      </c>
      <c r="AE24" s="7" t="s">
        <v>195</v>
      </c>
      <c r="AF24" s="53"/>
      <c r="AG24" s="171"/>
      <c r="AM24" s="53"/>
      <c r="AN24" s="53"/>
      <c r="AO24" s="53"/>
      <c r="AP24" s="53"/>
      <c r="AQ24" s="53"/>
    </row>
    <row r="25" spans="2:49">
      <c r="B25" s="11" t="s">
        <v>16</v>
      </c>
      <c r="C25" s="20">
        <f>SUM(Q25:Q38+AB25:AB38)</f>
        <v>0</v>
      </c>
      <c r="D25" s="12"/>
      <c r="E25" s="11"/>
      <c r="F25" s="20">
        <f t="shared" ref="F25:F31" si="1">C6+C25</f>
        <v>0</v>
      </c>
      <c r="K25" s="126" t="str">
        <f>K6</f>
        <v>Brokerage 1</v>
      </c>
      <c r="L25" s="154"/>
      <c r="M25" s="155"/>
      <c r="N25" s="155"/>
      <c r="O25" s="155"/>
      <c r="P25" s="155"/>
      <c r="Q25" s="168"/>
      <c r="R25" s="169"/>
      <c r="S25" s="169"/>
      <c r="T25" s="167"/>
      <c r="U25" s="53"/>
      <c r="V25" s="170" t="str">
        <f>K6</f>
        <v>Brokerage 1</v>
      </c>
      <c r="W25" s="154"/>
      <c r="X25" s="155"/>
      <c r="Y25" s="155"/>
      <c r="Z25" s="155"/>
      <c r="AA25" s="155"/>
      <c r="AB25" s="168"/>
      <c r="AC25" s="169"/>
      <c r="AD25" s="169"/>
      <c r="AE25" s="167"/>
      <c r="AF25" s="53"/>
      <c r="AG25" s="171"/>
      <c r="AM25" s="53"/>
      <c r="AN25" s="53"/>
      <c r="AO25" s="53"/>
      <c r="AP25" s="53"/>
      <c r="AQ25" s="53"/>
    </row>
    <row r="26" spans="2:49">
      <c r="B26" s="15" t="s">
        <v>51</v>
      </c>
      <c r="C26" s="20">
        <f>SUM(T25:T38+AE25:AE38)</f>
        <v>0</v>
      </c>
      <c r="D26" s="12"/>
      <c r="E26" s="11"/>
      <c r="F26" s="20">
        <f t="shared" si="1"/>
        <v>0</v>
      </c>
      <c r="K26" s="126" t="str">
        <f t="shared" ref="K26:K33" si="2">K7</f>
        <v>Brokerage 2</v>
      </c>
      <c r="L26" s="156"/>
      <c r="M26" s="119"/>
      <c r="N26" s="119"/>
      <c r="O26" s="119"/>
      <c r="P26" s="119"/>
      <c r="Q26" s="116"/>
      <c r="R26" s="165"/>
      <c r="S26" s="165"/>
      <c r="T26" s="147"/>
      <c r="U26" s="53"/>
      <c r="V26" s="170" t="str">
        <f>K7</f>
        <v>Brokerage 2</v>
      </c>
      <c r="W26" s="156"/>
      <c r="X26" s="119"/>
      <c r="Y26" s="119"/>
      <c r="Z26" s="119"/>
      <c r="AA26" s="119"/>
      <c r="AB26" s="116"/>
      <c r="AC26" s="165"/>
      <c r="AD26" s="165"/>
      <c r="AE26" s="147"/>
      <c r="AF26" s="53"/>
      <c r="AG26" s="171"/>
      <c r="AM26" s="53"/>
      <c r="AN26" s="53"/>
      <c r="AO26" s="53"/>
      <c r="AP26" s="53"/>
      <c r="AQ26" s="53"/>
    </row>
    <row r="27" spans="2:49">
      <c r="B27" s="11" t="s">
        <v>6</v>
      </c>
      <c r="C27" s="20">
        <f>SUM(L25:L38,W25:W38)</f>
        <v>0</v>
      </c>
      <c r="D27" s="12"/>
      <c r="E27" s="11"/>
      <c r="F27" s="20">
        <f t="shared" si="1"/>
        <v>0</v>
      </c>
      <c r="H27" s="1"/>
      <c r="K27" s="126" t="str">
        <f t="shared" si="2"/>
        <v>401K</v>
      </c>
      <c r="L27" s="157"/>
      <c r="M27" s="104"/>
      <c r="N27" s="104"/>
      <c r="O27" s="104"/>
      <c r="P27" s="104"/>
      <c r="Q27" s="116"/>
      <c r="R27" s="165"/>
      <c r="S27" s="165"/>
      <c r="T27" s="147"/>
      <c r="U27" s="53"/>
      <c r="V27" s="170" t="str">
        <f>K8</f>
        <v>401K</v>
      </c>
      <c r="W27" s="157"/>
      <c r="X27" s="104"/>
      <c r="Y27" s="104"/>
      <c r="Z27" s="104"/>
      <c r="AA27" s="104"/>
      <c r="AB27" s="116"/>
      <c r="AC27" s="165"/>
      <c r="AD27" s="165"/>
      <c r="AE27" s="147"/>
      <c r="AF27" s="53"/>
      <c r="AG27" s="171"/>
      <c r="AM27" s="53"/>
      <c r="AN27" s="53"/>
      <c r="AO27" s="53"/>
      <c r="AP27" s="53"/>
      <c r="AQ27" s="53"/>
    </row>
    <row r="28" spans="2:49">
      <c r="B28" s="11" t="s">
        <v>7</v>
      </c>
      <c r="C28" s="20">
        <f>SUM(M25:M38,X25:X38)</f>
        <v>0</v>
      </c>
      <c r="D28" s="12"/>
      <c r="E28" s="11"/>
      <c r="F28" s="20">
        <f t="shared" si="1"/>
        <v>0</v>
      </c>
      <c r="H28" s="22"/>
      <c r="K28" s="126" t="str">
        <f t="shared" si="2"/>
        <v>IRA</v>
      </c>
      <c r="L28" s="156"/>
      <c r="M28" s="119"/>
      <c r="N28" s="119"/>
      <c r="O28" s="119"/>
      <c r="P28" s="119"/>
      <c r="Q28" s="116"/>
      <c r="R28" s="165"/>
      <c r="S28" s="165"/>
      <c r="T28" s="147"/>
      <c r="U28" s="53"/>
      <c r="V28" s="170" t="str">
        <f>K9</f>
        <v>IRA</v>
      </c>
      <c r="W28" s="156"/>
      <c r="X28" s="119"/>
      <c r="Y28" s="119"/>
      <c r="Z28" s="119"/>
      <c r="AA28" s="119"/>
      <c r="AB28" s="116"/>
      <c r="AC28" s="165"/>
      <c r="AD28" s="165"/>
      <c r="AE28" s="147"/>
      <c r="AF28" s="53"/>
      <c r="AG28" s="171"/>
      <c r="AM28" s="53"/>
      <c r="AN28" s="53"/>
      <c r="AO28" s="53"/>
      <c r="AP28" s="53"/>
      <c r="AQ28" s="53"/>
    </row>
    <row r="29" spans="2:49">
      <c r="B29" s="11" t="s">
        <v>37</v>
      </c>
      <c r="C29" s="20">
        <f>SUM(N25:N38,Y25:Y38)</f>
        <v>0</v>
      </c>
      <c r="D29" s="12"/>
      <c r="E29" s="11"/>
      <c r="F29" s="20">
        <f t="shared" si="1"/>
        <v>0</v>
      </c>
      <c r="H29" s="22"/>
      <c r="K29" s="126" t="str">
        <f t="shared" si="2"/>
        <v>Mutual Fund 1</v>
      </c>
      <c r="L29" s="157"/>
      <c r="M29" s="104"/>
      <c r="N29" s="104"/>
      <c r="O29" s="104"/>
      <c r="P29" s="104"/>
      <c r="Q29" s="116"/>
      <c r="R29" s="165"/>
      <c r="S29" s="165"/>
      <c r="T29" s="147"/>
      <c r="U29" s="53"/>
      <c r="V29" s="170" t="str">
        <f>K10</f>
        <v>Mutual Fund 1</v>
      </c>
      <c r="W29" s="157"/>
      <c r="X29" s="104"/>
      <c r="Y29" s="104"/>
      <c r="Z29" s="104"/>
      <c r="AA29" s="104"/>
      <c r="AB29" s="116"/>
      <c r="AC29" s="165"/>
      <c r="AD29" s="165"/>
      <c r="AE29" s="147"/>
      <c r="AF29" s="53"/>
      <c r="AG29" s="171"/>
      <c r="AM29" s="53"/>
      <c r="AN29" s="53"/>
      <c r="AO29" s="53"/>
      <c r="AP29" s="53"/>
      <c r="AQ29" s="53"/>
    </row>
    <row r="30" spans="2:49">
      <c r="B30" s="11" t="s">
        <v>17</v>
      </c>
      <c r="C30" s="20">
        <f>SUM(O25:O38,Z25:Z38)</f>
        <v>0</v>
      </c>
      <c r="D30" s="12"/>
      <c r="E30" s="11"/>
      <c r="F30" s="20">
        <f t="shared" si="1"/>
        <v>0</v>
      </c>
      <c r="H30" s="1"/>
      <c r="K30" s="126" t="str">
        <f t="shared" si="2"/>
        <v>Mut Fund 2</v>
      </c>
      <c r="L30" s="157"/>
      <c r="M30" s="104"/>
      <c r="N30" s="104"/>
      <c r="O30" s="104"/>
      <c r="P30" s="104"/>
      <c r="Q30" s="116"/>
      <c r="R30" s="165"/>
      <c r="S30" s="165"/>
      <c r="T30" s="147"/>
      <c r="U30" s="53"/>
      <c r="V30" s="170" t="str">
        <f>K11</f>
        <v>Mut Fund 2</v>
      </c>
      <c r="W30" s="157"/>
      <c r="X30" s="104"/>
      <c r="Y30" s="104"/>
      <c r="Z30" s="104"/>
      <c r="AA30" s="104"/>
      <c r="AB30" s="116"/>
      <c r="AC30" s="165"/>
      <c r="AD30" s="165"/>
      <c r="AE30" s="147"/>
      <c r="AF30" s="53"/>
      <c r="AG30" s="171"/>
      <c r="AM30" s="53"/>
      <c r="AN30" s="53"/>
      <c r="AO30" s="53"/>
      <c r="AP30" s="53"/>
      <c r="AQ30" s="53"/>
    </row>
    <row r="31" spans="2:49">
      <c r="B31" s="11" t="s">
        <v>26</v>
      </c>
      <c r="C31" s="20">
        <f>SUM(P25:P38,AA25:AA38)</f>
        <v>0</v>
      </c>
      <c r="D31" s="12"/>
      <c r="E31" s="11"/>
      <c r="F31" s="20">
        <f t="shared" si="1"/>
        <v>0</v>
      </c>
      <c r="K31" s="126" t="str">
        <f t="shared" si="2"/>
        <v>Bank 1</v>
      </c>
      <c r="L31" s="156"/>
      <c r="M31" s="104"/>
      <c r="N31" s="119"/>
      <c r="O31" s="119"/>
      <c r="P31" s="119"/>
      <c r="Q31" s="116"/>
      <c r="R31" s="165"/>
      <c r="S31" s="165"/>
      <c r="T31" s="147"/>
      <c r="U31" s="53"/>
      <c r="V31" s="170" t="str">
        <f>K12</f>
        <v>Bank 1</v>
      </c>
      <c r="W31" s="156"/>
      <c r="X31" s="104"/>
      <c r="Y31" s="119"/>
      <c r="Z31" s="119"/>
      <c r="AA31" s="119"/>
      <c r="AB31" s="116"/>
      <c r="AC31" s="165"/>
      <c r="AD31" s="165"/>
      <c r="AE31" s="147"/>
      <c r="AF31" s="53"/>
      <c r="AG31" s="171"/>
      <c r="AM31" s="53"/>
      <c r="AN31" s="53"/>
      <c r="AO31" s="53"/>
      <c r="AP31" s="53"/>
      <c r="AQ31" s="53"/>
    </row>
    <row r="32" spans="2:49">
      <c r="B32" s="14" t="s">
        <v>8</v>
      </c>
      <c r="C32" s="20">
        <f>SUM(C25:C31)</f>
        <v>0</v>
      </c>
      <c r="D32" s="12"/>
      <c r="E32" s="15"/>
      <c r="F32" s="20">
        <f>SUM(F25:F31)</f>
        <v>0</v>
      </c>
      <c r="K32" s="126" t="str">
        <f t="shared" si="2"/>
        <v>Credit Union</v>
      </c>
      <c r="L32" s="156"/>
      <c r="M32" s="104"/>
      <c r="N32" s="119"/>
      <c r="O32" s="119"/>
      <c r="P32" s="119"/>
      <c r="Q32" s="116"/>
      <c r="R32" s="165"/>
      <c r="S32" s="165"/>
      <c r="T32" s="147"/>
      <c r="U32" s="53"/>
      <c r="V32" s="170" t="str">
        <f>K13</f>
        <v>Credit Union</v>
      </c>
      <c r="W32" s="156"/>
      <c r="X32" s="104"/>
      <c r="Y32" s="119"/>
      <c r="Z32" s="119"/>
      <c r="AA32" s="119"/>
      <c r="AB32" s="116"/>
      <c r="AC32" s="165"/>
      <c r="AD32" s="165"/>
      <c r="AE32" s="147"/>
      <c r="AF32" s="53"/>
      <c r="AG32" s="171"/>
      <c r="AM32" s="53"/>
      <c r="AN32" s="53"/>
      <c r="AO32" s="53"/>
      <c r="AP32" s="53"/>
      <c r="AQ32" s="53"/>
    </row>
    <row r="33" spans="2:43">
      <c r="B33" s="14"/>
      <c r="C33" s="12"/>
      <c r="D33" s="12"/>
      <c r="E33" s="15"/>
      <c r="F33" s="12"/>
      <c r="K33" s="126" t="str">
        <f t="shared" si="2"/>
        <v>Credit Card</v>
      </c>
      <c r="L33" s="156"/>
      <c r="M33" s="119"/>
      <c r="N33" s="119"/>
      <c r="O33" s="119"/>
      <c r="P33" s="119"/>
      <c r="Q33" s="116"/>
      <c r="R33" s="165"/>
      <c r="S33" s="165"/>
      <c r="T33" s="147"/>
      <c r="U33" s="53"/>
      <c r="V33" s="170" t="str">
        <f>K14</f>
        <v>Credit Card</v>
      </c>
      <c r="W33" s="156"/>
      <c r="X33" s="119"/>
      <c r="Y33" s="119"/>
      <c r="Z33" s="119"/>
      <c r="AA33" s="119"/>
      <c r="AB33" s="116"/>
      <c r="AC33" s="165"/>
      <c r="AD33" s="165"/>
      <c r="AE33" s="147"/>
      <c r="AF33" s="53"/>
      <c r="AG33" s="171"/>
      <c r="AM33" s="53"/>
      <c r="AN33" s="53"/>
      <c r="AO33" s="53"/>
      <c r="AP33" s="53"/>
      <c r="AQ33" s="53"/>
    </row>
    <row r="34" spans="2:43">
      <c r="B34" s="14" t="s">
        <v>9</v>
      </c>
      <c r="C34" s="20">
        <f>SUM(R25:R38+AC25:AC38)</f>
        <v>0</v>
      </c>
      <c r="D34" s="12"/>
      <c r="E34" s="15"/>
      <c r="F34" s="20">
        <f>(C34+F15)</f>
        <v>0</v>
      </c>
      <c r="K34" s="126" t="str">
        <f>K15</f>
        <v>Grants</v>
      </c>
      <c r="L34" s="157"/>
      <c r="M34" s="119"/>
      <c r="N34" s="119"/>
      <c r="O34" s="119"/>
      <c r="P34" s="119"/>
      <c r="Q34" s="116"/>
      <c r="R34" s="165"/>
      <c r="S34" s="165"/>
      <c r="T34" s="147"/>
      <c r="U34" s="53"/>
      <c r="V34" s="170" t="str">
        <f>K15</f>
        <v>Grants</v>
      </c>
      <c r="W34" s="157"/>
      <c r="X34" s="119"/>
      <c r="Y34" s="119"/>
      <c r="Z34" s="119"/>
      <c r="AA34" s="119"/>
      <c r="AB34" s="116"/>
      <c r="AC34" s="165"/>
      <c r="AD34" s="165"/>
      <c r="AE34" s="147"/>
      <c r="AF34" s="53"/>
      <c r="AG34" s="171"/>
      <c r="AM34" s="53"/>
      <c r="AN34" s="53"/>
      <c r="AO34" s="53"/>
      <c r="AP34" s="53"/>
      <c r="AQ34" s="53"/>
    </row>
    <row r="35" spans="2:43">
      <c r="B35" s="16" t="s">
        <v>11</v>
      </c>
      <c r="C35" s="21"/>
      <c r="D35" s="13"/>
      <c r="E35" s="16"/>
      <c r="F35" s="20">
        <f>C35+F16</f>
        <v>0</v>
      </c>
      <c r="G35" t="s">
        <v>136</v>
      </c>
      <c r="H35" s="111"/>
      <c r="J35" s="37"/>
      <c r="K35" s="126" t="str">
        <f t="shared" ref="K35:K38" si="3">K16</f>
        <v>Options</v>
      </c>
      <c r="L35" s="156"/>
      <c r="M35" s="119"/>
      <c r="N35" s="119"/>
      <c r="O35" s="119"/>
      <c r="P35" s="119"/>
      <c r="Q35" s="116"/>
      <c r="R35" s="165"/>
      <c r="S35" s="165"/>
      <c r="T35" s="147"/>
      <c r="U35" s="53"/>
      <c r="V35" s="170" t="str">
        <f>K16</f>
        <v>Options</v>
      </c>
      <c r="W35" s="156"/>
      <c r="X35" s="119"/>
      <c r="Y35" s="119"/>
      <c r="Z35" s="119"/>
      <c r="AA35" s="119"/>
      <c r="AB35" s="116"/>
      <c r="AC35" s="165"/>
      <c r="AD35" s="165"/>
      <c r="AE35" s="147"/>
      <c r="AF35" s="53"/>
      <c r="AG35" s="171"/>
      <c r="AM35" s="53"/>
      <c r="AN35" s="53"/>
      <c r="AO35" s="53"/>
      <c r="AP35" s="53"/>
      <c r="AQ35" s="53"/>
    </row>
    <row r="36" spans="2:43">
      <c r="B36" s="14" t="s">
        <v>8</v>
      </c>
      <c r="C36" s="20">
        <f>SUM(C34:C35)</f>
        <v>0</v>
      </c>
      <c r="D36" s="12"/>
      <c r="E36" s="15"/>
      <c r="F36" s="20">
        <f>SUM(F34:F35)</f>
        <v>0</v>
      </c>
      <c r="K36" s="126" t="str">
        <f t="shared" si="3"/>
        <v>Job</v>
      </c>
      <c r="L36" s="156"/>
      <c r="M36" s="119"/>
      <c r="N36" s="119"/>
      <c r="O36" s="119"/>
      <c r="P36" s="119"/>
      <c r="Q36" s="103"/>
      <c r="R36" s="163"/>
      <c r="S36" s="163"/>
      <c r="T36" s="147"/>
      <c r="U36" s="53"/>
      <c r="V36" s="170" t="str">
        <f>K17</f>
        <v>Job</v>
      </c>
      <c r="W36" s="156"/>
      <c r="X36" s="119"/>
      <c r="Y36" s="119"/>
      <c r="Z36" s="119"/>
      <c r="AA36" s="119"/>
      <c r="AB36" s="103"/>
      <c r="AC36" s="163"/>
      <c r="AD36" s="163"/>
      <c r="AE36" s="147"/>
      <c r="AF36" s="53"/>
      <c r="AG36" s="171"/>
      <c r="AM36" s="53"/>
      <c r="AN36" s="53"/>
      <c r="AO36" s="53"/>
      <c r="AP36" s="53"/>
      <c r="AQ36" s="53"/>
    </row>
    <row r="37" spans="2:43">
      <c r="B37" s="17"/>
      <c r="C37" s="12"/>
      <c r="D37" s="12"/>
      <c r="E37" s="15"/>
      <c r="F37" s="12"/>
      <c r="K37" s="126" t="str">
        <f t="shared" si="3"/>
        <v>Contract Job</v>
      </c>
      <c r="L37" s="156"/>
      <c r="M37" s="119"/>
      <c r="N37" s="119"/>
      <c r="O37" s="119"/>
      <c r="P37" s="119"/>
      <c r="Q37" s="116"/>
      <c r="R37" s="165"/>
      <c r="S37" s="165"/>
      <c r="T37" s="122"/>
      <c r="U37" s="53"/>
      <c r="V37" s="170" t="str">
        <f>K18</f>
        <v>Contract Job</v>
      </c>
      <c r="W37" s="156"/>
      <c r="X37" s="119"/>
      <c r="Y37" s="119"/>
      <c r="Z37" s="119"/>
      <c r="AA37" s="119"/>
      <c r="AB37" s="116"/>
      <c r="AC37" s="165"/>
      <c r="AD37" s="165"/>
      <c r="AE37" s="122"/>
      <c r="AF37" s="53"/>
      <c r="AG37" s="171"/>
      <c r="AM37" s="53"/>
      <c r="AN37" s="53"/>
      <c r="AO37" s="53"/>
      <c r="AP37" s="53"/>
      <c r="AQ37" s="53"/>
    </row>
    <row r="38" spans="2:43" ht="13" thickBot="1">
      <c r="B38" s="14" t="s">
        <v>10</v>
      </c>
      <c r="C38" s="20">
        <f>SUM(S25:S38+AD25:AD38)</f>
        <v>0</v>
      </c>
      <c r="D38" s="12"/>
      <c r="E38" s="15"/>
      <c r="F38" s="20">
        <f>C38+F19</f>
        <v>0</v>
      </c>
      <c r="K38" s="126">
        <f t="shared" si="3"/>
        <v>0</v>
      </c>
      <c r="L38" s="158"/>
      <c r="M38" s="159"/>
      <c r="N38" s="159"/>
      <c r="O38" s="159"/>
      <c r="P38" s="159"/>
      <c r="Q38" s="148"/>
      <c r="R38" s="166"/>
      <c r="S38" s="166"/>
      <c r="T38" s="149"/>
      <c r="U38" s="53"/>
      <c r="V38" s="170">
        <f>K19</f>
        <v>0</v>
      </c>
      <c r="W38" s="158"/>
      <c r="X38" s="159"/>
      <c r="Y38" s="159"/>
      <c r="Z38" s="159"/>
      <c r="AA38" s="159"/>
      <c r="AB38" s="148"/>
      <c r="AC38" s="166"/>
      <c r="AD38" s="166"/>
      <c r="AE38" s="149"/>
      <c r="AF38" s="53"/>
      <c r="AG38" s="171"/>
      <c r="AM38" s="53"/>
      <c r="AN38" s="53"/>
      <c r="AO38" s="53"/>
      <c r="AP38" s="53"/>
      <c r="AQ38" s="53"/>
    </row>
    <row r="39" spans="2:43">
      <c r="B39" s="18" t="s">
        <v>12</v>
      </c>
      <c r="C39" s="21"/>
      <c r="D39" s="13"/>
      <c r="E39" s="16"/>
      <c r="F39" s="20">
        <f>C39+F20</f>
        <v>0</v>
      </c>
      <c r="G39" t="s">
        <v>136</v>
      </c>
      <c r="H39" s="111"/>
      <c r="J39" s="36"/>
      <c r="K39" s="124"/>
      <c r="U39" s="53"/>
      <c r="V39" s="171"/>
      <c r="AF39" s="53"/>
      <c r="AG39" s="171"/>
      <c r="AM39" s="53"/>
      <c r="AN39" s="53"/>
      <c r="AO39" s="53"/>
      <c r="AP39" s="53"/>
      <c r="AQ39" s="53"/>
    </row>
    <row r="40" spans="2:43">
      <c r="B40" s="14" t="s">
        <v>8</v>
      </c>
      <c r="C40" s="20">
        <f>SUM(C38:C39)</f>
        <v>0</v>
      </c>
      <c r="D40" s="11"/>
      <c r="E40" s="15"/>
      <c r="F40" s="20">
        <f>SUM(F38:F39)</f>
        <v>0</v>
      </c>
      <c r="K40" s="124"/>
      <c r="U40" s="53"/>
      <c r="V40" s="171"/>
      <c r="AF40" s="53"/>
      <c r="AG40" s="171"/>
      <c r="AM40" s="53"/>
      <c r="AN40" s="53"/>
      <c r="AO40" s="53"/>
      <c r="AP40" s="53"/>
      <c r="AQ40" s="53"/>
    </row>
    <row r="41" spans="2:43">
      <c r="B41" s="3"/>
      <c r="C41" s="4"/>
      <c r="D41" s="5"/>
      <c r="E41" s="6"/>
      <c r="F41" s="4"/>
      <c r="K41" s="124"/>
      <c r="U41" s="53"/>
      <c r="V41" s="171"/>
      <c r="AF41" s="53"/>
      <c r="AG41" s="171"/>
      <c r="AM41" s="53"/>
      <c r="AN41" s="53"/>
      <c r="AO41" s="53"/>
      <c r="AP41" s="53"/>
      <c r="AQ41" s="53"/>
    </row>
    <row r="42" spans="2:43">
      <c r="B42" s="8" t="s">
        <v>173</v>
      </c>
      <c r="F42" s="7" t="s">
        <v>178</v>
      </c>
      <c r="K42" s="118" t="s">
        <v>126</v>
      </c>
      <c r="U42" s="53"/>
      <c r="V42" s="172" t="s">
        <v>127</v>
      </c>
      <c r="AC42" s="7"/>
      <c r="AD42" s="7"/>
      <c r="AF42" s="53"/>
      <c r="AG42" s="172" t="s">
        <v>128</v>
      </c>
      <c r="AM42" s="53"/>
      <c r="AN42" s="53"/>
      <c r="AO42" s="53"/>
      <c r="AP42" s="53"/>
      <c r="AQ42" s="53"/>
    </row>
    <row r="43" spans="2:43" ht="13" thickBot="1">
      <c r="B43" s="9" t="s">
        <v>15</v>
      </c>
      <c r="C43" s="19" t="s">
        <v>14</v>
      </c>
      <c r="D43" s="10"/>
      <c r="E43" s="10"/>
      <c r="F43" s="19" t="s">
        <v>13</v>
      </c>
      <c r="K43" s="118" t="s">
        <v>118</v>
      </c>
      <c r="L43" s="7" t="s">
        <v>6</v>
      </c>
      <c r="M43" s="7" t="s">
        <v>7</v>
      </c>
      <c r="N43" s="7" t="s">
        <v>115</v>
      </c>
      <c r="O43" s="7" t="s">
        <v>116</v>
      </c>
      <c r="P43" s="7" t="s">
        <v>117</v>
      </c>
      <c r="Q43" s="7" t="s">
        <v>194</v>
      </c>
      <c r="R43" s="7" t="s">
        <v>198</v>
      </c>
      <c r="S43" s="7" t="s">
        <v>199</v>
      </c>
      <c r="T43" s="7" t="s">
        <v>195</v>
      </c>
      <c r="U43" s="53"/>
      <c r="V43" s="172" t="s">
        <v>118</v>
      </c>
      <c r="W43" s="7" t="s">
        <v>6</v>
      </c>
      <c r="X43" s="7" t="s">
        <v>7</v>
      </c>
      <c r="Y43" s="7" t="s">
        <v>115</v>
      </c>
      <c r="Z43" s="7" t="s">
        <v>116</v>
      </c>
      <c r="AA43" s="7" t="s">
        <v>117</v>
      </c>
      <c r="AB43" s="7" t="s">
        <v>194</v>
      </c>
      <c r="AC43" s="7" t="s">
        <v>198</v>
      </c>
      <c r="AD43" s="7" t="s">
        <v>199</v>
      </c>
      <c r="AE43" s="7" t="s">
        <v>195</v>
      </c>
      <c r="AF43" s="53"/>
      <c r="AG43" s="172" t="s">
        <v>118</v>
      </c>
      <c r="AH43" s="7" t="s">
        <v>6</v>
      </c>
      <c r="AI43" s="7" t="s">
        <v>7</v>
      </c>
      <c r="AJ43" s="7" t="s">
        <v>115</v>
      </c>
      <c r="AK43" s="7" t="s">
        <v>116</v>
      </c>
      <c r="AL43" s="7" t="s">
        <v>117</v>
      </c>
      <c r="AM43" s="7" t="s">
        <v>194</v>
      </c>
      <c r="AN43" s="7" t="s">
        <v>198</v>
      </c>
      <c r="AO43" s="7" t="s">
        <v>199</v>
      </c>
      <c r="AP43" s="7" t="s">
        <v>195</v>
      </c>
      <c r="AQ43" s="53"/>
    </row>
    <row r="44" spans="2:43">
      <c r="B44" s="11" t="s">
        <v>16</v>
      </c>
      <c r="C44" s="20">
        <f>SUM(Q44:Q57+AB44:AB57+AM44:AM57)</f>
        <v>0</v>
      </c>
      <c r="D44" s="12"/>
      <c r="E44" s="11"/>
      <c r="F44" s="20">
        <f t="shared" ref="F44:F50" si="4">SUM(C6+C25+C44)</f>
        <v>0</v>
      </c>
      <c r="K44" s="126" t="str">
        <f>K6</f>
        <v>Brokerage 1</v>
      </c>
      <c r="L44" s="154"/>
      <c r="M44" s="155"/>
      <c r="N44" s="155"/>
      <c r="O44" s="155"/>
      <c r="P44" s="155"/>
      <c r="Q44" s="168"/>
      <c r="R44" s="169"/>
      <c r="S44" s="169"/>
      <c r="T44" s="167"/>
      <c r="U44" s="53"/>
      <c r="V44" s="170" t="str">
        <f>K6</f>
        <v>Brokerage 1</v>
      </c>
      <c r="W44" s="154"/>
      <c r="X44" s="155"/>
      <c r="Y44" s="155"/>
      <c r="Z44" s="155"/>
      <c r="AA44" s="155"/>
      <c r="AB44" s="168"/>
      <c r="AC44" s="169"/>
      <c r="AD44" s="169"/>
      <c r="AE44" s="167"/>
      <c r="AF44" s="53"/>
      <c r="AG44" s="170" t="str">
        <f>K6</f>
        <v>Brokerage 1</v>
      </c>
      <c r="AH44" s="154"/>
      <c r="AI44" s="155"/>
      <c r="AJ44" s="155"/>
      <c r="AK44" s="155"/>
      <c r="AL44" s="155"/>
      <c r="AM44" s="168"/>
      <c r="AN44" s="169"/>
      <c r="AO44" s="169"/>
      <c r="AP44" s="167"/>
      <c r="AQ44" s="53"/>
    </row>
    <row r="45" spans="2:43">
      <c r="B45" s="15" t="s">
        <v>51</v>
      </c>
      <c r="C45" s="20">
        <f>SUM(T44:T57+AE44:AE57+AP44:AP57)</f>
        <v>0</v>
      </c>
      <c r="D45" s="12"/>
      <c r="E45" s="11"/>
      <c r="F45" s="20">
        <f t="shared" si="4"/>
        <v>0</v>
      </c>
      <c r="H45" s="22"/>
      <c r="K45" s="126" t="str">
        <f t="shared" ref="K45:K52" si="5">K7</f>
        <v>Brokerage 2</v>
      </c>
      <c r="L45" s="156"/>
      <c r="M45" s="119"/>
      <c r="N45" s="119"/>
      <c r="O45" s="119"/>
      <c r="P45" s="119"/>
      <c r="Q45" s="116"/>
      <c r="R45" s="165"/>
      <c r="S45" s="165"/>
      <c r="T45" s="147"/>
      <c r="U45" s="53"/>
      <c r="V45" s="170" t="str">
        <f>K7</f>
        <v>Brokerage 2</v>
      </c>
      <c r="W45" s="156"/>
      <c r="X45" s="119"/>
      <c r="Y45" s="119"/>
      <c r="Z45" s="119"/>
      <c r="AA45" s="119"/>
      <c r="AB45" s="116"/>
      <c r="AC45" s="165"/>
      <c r="AD45" s="165"/>
      <c r="AE45" s="147"/>
      <c r="AF45" s="53"/>
      <c r="AG45" s="170" t="str">
        <f>K7</f>
        <v>Brokerage 2</v>
      </c>
      <c r="AH45" s="156"/>
      <c r="AI45" s="119"/>
      <c r="AJ45" s="119"/>
      <c r="AK45" s="119"/>
      <c r="AL45" s="119"/>
      <c r="AM45" s="116"/>
      <c r="AN45" s="165"/>
      <c r="AO45" s="165"/>
      <c r="AP45" s="147"/>
      <c r="AQ45" s="53"/>
    </row>
    <row r="46" spans="2:43">
      <c r="B46" s="11" t="s">
        <v>6</v>
      </c>
      <c r="C46" s="20">
        <f>SUM(L44:L57,W44:W57,AH44:AH57)</f>
        <v>0</v>
      </c>
      <c r="D46" s="12"/>
      <c r="E46" s="11"/>
      <c r="F46" s="20">
        <f t="shared" si="4"/>
        <v>0</v>
      </c>
      <c r="H46" s="1"/>
      <c r="K46" s="126" t="str">
        <f t="shared" si="5"/>
        <v>401K</v>
      </c>
      <c r="L46" s="157"/>
      <c r="M46" s="104"/>
      <c r="N46" s="104"/>
      <c r="O46" s="104"/>
      <c r="P46" s="104"/>
      <c r="Q46" s="116"/>
      <c r="R46" s="165"/>
      <c r="S46" s="165"/>
      <c r="T46" s="147"/>
      <c r="U46" s="53"/>
      <c r="V46" s="170" t="str">
        <f>K8</f>
        <v>401K</v>
      </c>
      <c r="W46" s="157"/>
      <c r="X46" s="104"/>
      <c r="Y46" s="104"/>
      <c r="Z46" s="104"/>
      <c r="AA46" s="104"/>
      <c r="AB46" s="116"/>
      <c r="AC46" s="165"/>
      <c r="AD46" s="165"/>
      <c r="AE46" s="147"/>
      <c r="AF46" s="53"/>
      <c r="AG46" s="170" t="str">
        <f>K8</f>
        <v>401K</v>
      </c>
      <c r="AH46" s="157"/>
      <c r="AI46" s="104"/>
      <c r="AJ46" s="104"/>
      <c r="AK46" s="104"/>
      <c r="AL46" s="104"/>
      <c r="AM46" s="116"/>
      <c r="AN46" s="165"/>
      <c r="AO46" s="165"/>
      <c r="AP46" s="147"/>
      <c r="AQ46" s="53"/>
    </row>
    <row r="47" spans="2:43">
      <c r="B47" s="11" t="s">
        <v>7</v>
      </c>
      <c r="C47" s="20">
        <f>SUM(M44:M57,X44:X57,AI44:AI57)</f>
        <v>0</v>
      </c>
      <c r="D47" s="12"/>
      <c r="E47" s="11"/>
      <c r="F47" s="20">
        <f t="shared" si="4"/>
        <v>0</v>
      </c>
      <c r="H47" s="1"/>
      <c r="K47" s="126" t="str">
        <f t="shared" si="5"/>
        <v>IRA</v>
      </c>
      <c r="L47" s="156"/>
      <c r="M47" s="119"/>
      <c r="N47" s="119"/>
      <c r="O47" s="119"/>
      <c r="P47" s="119"/>
      <c r="Q47" s="116"/>
      <c r="R47" s="165"/>
      <c r="S47" s="165"/>
      <c r="T47" s="147"/>
      <c r="U47" s="53"/>
      <c r="V47" s="170" t="str">
        <f>K9</f>
        <v>IRA</v>
      </c>
      <c r="W47" s="156"/>
      <c r="X47" s="119"/>
      <c r="Y47" s="119"/>
      <c r="Z47" s="119"/>
      <c r="AA47" s="119"/>
      <c r="AB47" s="116"/>
      <c r="AC47" s="165"/>
      <c r="AD47" s="165"/>
      <c r="AE47" s="147"/>
      <c r="AF47" s="53"/>
      <c r="AG47" s="170" t="str">
        <f>K9</f>
        <v>IRA</v>
      </c>
      <c r="AH47" s="156"/>
      <c r="AI47" s="119"/>
      <c r="AJ47" s="119"/>
      <c r="AK47" s="119"/>
      <c r="AL47" s="119"/>
      <c r="AM47" s="116"/>
      <c r="AN47" s="165"/>
      <c r="AO47" s="165"/>
      <c r="AP47" s="147"/>
      <c r="AQ47" s="53"/>
    </row>
    <row r="48" spans="2:43">
      <c r="B48" s="11" t="s">
        <v>37</v>
      </c>
      <c r="C48" s="20">
        <f>SUM(N44:N57,Y44:Y57,AJ44:AJ57)</f>
        <v>0</v>
      </c>
      <c r="D48" s="12"/>
      <c r="E48" s="11"/>
      <c r="F48" s="20">
        <f t="shared" si="4"/>
        <v>0</v>
      </c>
      <c r="K48" s="126" t="str">
        <f t="shared" si="5"/>
        <v>Mutual Fund 1</v>
      </c>
      <c r="L48" s="157"/>
      <c r="M48" s="104"/>
      <c r="N48" s="104"/>
      <c r="O48" s="104"/>
      <c r="P48" s="104"/>
      <c r="Q48" s="116"/>
      <c r="R48" s="165"/>
      <c r="S48" s="165"/>
      <c r="T48" s="147"/>
      <c r="U48" s="53"/>
      <c r="V48" s="170" t="str">
        <f>K10</f>
        <v>Mutual Fund 1</v>
      </c>
      <c r="W48" s="157"/>
      <c r="X48" s="104"/>
      <c r="Y48" s="104"/>
      <c r="Z48" s="104"/>
      <c r="AA48" s="104"/>
      <c r="AB48" s="116"/>
      <c r="AC48" s="165"/>
      <c r="AD48" s="165"/>
      <c r="AE48" s="147"/>
      <c r="AF48" s="53"/>
      <c r="AG48" s="170" t="str">
        <f>K10</f>
        <v>Mutual Fund 1</v>
      </c>
      <c r="AH48" s="157"/>
      <c r="AI48" s="104"/>
      <c r="AJ48" s="104"/>
      <c r="AK48" s="104"/>
      <c r="AL48" s="104"/>
      <c r="AM48" s="116"/>
      <c r="AN48" s="165"/>
      <c r="AO48" s="165"/>
      <c r="AP48" s="147"/>
      <c r="AQ48" s="53"/>
    </row>
    <row r="49" spans="2:53">
      <c r="B49" s="11" t="s">
        <v>17</v>
      </c>
      <c r="C49" s="20">
        <f>SUM(O44:O57,Z44:Z57,AK44:AK57)</f>
        <v>0</v>
      </c>
      <c r="D49" s="12"/>
      <c r="E49" s="11"/>
      <c r="F49" s="20">
        <f t="shared" si="4"/>
        <v>0</v>
      </c>
      <c r="K49" s="126" t="str">
        <f t="shared" si="5"/>
        <v>Mut Fund 2</v>
      </c>
      <c r="L49" s="157"/>
      <c r="M49" s="104"/>
      <c r="N49" s="104"/>
      <c r="O49" s="104"/>
      <c r="P49" s="104"/>
      <c r="Q49" s="116"/>
      <c r="R49" s="165"/>
      <c r="S49" s="165"/>
      <c r="T49" s="147"/>
      <c r="U49" s="53"/>
      <c r="V49" s="170" t="str">
        <f>K11</f>
        <v>Mut Fund 2</v>
      </c>
      <c r="W49" s="157"/>
      <c r="X49" s="104"/>
      <c r="Y49" s="104"/>
      <c r="Z49" s="104"/>
      <c r="AA49" s="104"/>
      <c r="AB49" s="116"/>
      <c r="AC49" s="165"/>
      <c r="AD49" s="165"/>
      <c r="AE49" s="147"/>
      <c r="AF49" s="53"/>
      <c r="AG49" s="170" t="str">
        <f>K11</f>
        <v>Mut Fund 2</v>
      </c>
      <c r="AH49" s="157"/>
      <c r="AI49" s="104"/>
      <c r="AJ49" s="104"/>
      <c r="AK49" s="104"/>
      <c r="AL49" s="104"/>
      <c r="AM49" s="116"/>
      <c r="AN49" s="165"/>
      <c r="AO49" s="165"/>
      <c r="AP49" s="147"/>
      <c r="AQ49" s="53"/>
    </row>
    <row r="50" spans="2:53">
      <c r="B50" s="11" t="s">
        <v>26</v>
      </c>
      <c r="C50" s="20">
        <f>SUM(P44:P57,AA44:AA57,AL44:AL57)</f>
        <v>0</v>
      </c>
      <c r="D50" s="12"/>
      <c r="E50" s="11"/>
      <c r="F50" s="20">
        <f t="shared" si="4"/>
        <v>0</v>
      </c>
      <c r="K50" s="126" t="str">
        <f t="shared" si="5"/>
        <v>Bank 1</v>
      </c>
      <c r="L50" s="156"/>
      <c r="M50" s="104"/>
      <c r="N50" s="119"/>
      <c r="O50" s="119"/>
      <c r="P50" s="119"/>
      <c r="Q50" s="116"/>
      <c r="R50" s="165"/>
      <c r="S50" s="165"/>
      <c r="T50" s="147"/>
      <c r="U50" s="53"/>
      <c r="V50" s="170" t="str">
        <f>K12</f>
        <v>Bank 1</v>
      </c>
      <c r="W50" s="156"/>
      <c r="X50" s="104"/>
      <c r="Y50" s="119"/>
      <c r="Z50" s="119"/>
      <c r="AA50" s="119"/>
      <c r="AB50" s="116"/>
      <c r="AC50" s="165"/>
      <c r="AD50" s="165"/>
      <c r="AE50" s="147"/>
      <c r="AF50" s="53"/>
      <c r="AG50" s="170" t="str">
        <f>K12</f>
        <v>Bank 1</v>
      </c>
      <c r="AH50" s="156"/>
      <c r="AI50" s="104"/>
      <c r="AJ50" s="119"/>
      <c r="AK50" s="119"/>
      <c r="AL50" s="119"/>
      <c r="AM50" s="116"/>
      <c r="AN50" s="165"/>
      <c r="AO50" s="165"/>
      <c r="AP50" s="147"/>
      <c r="AQ50" s="53"/>
    </row>
    <row r="51" spans="2:53">
      <c r="B51" s="14" t="s">
        <v>8</v>
      </c>
      <c r="C51" s="20">
        <f>SUM(C44:C50)</f>
        <v>0</v>
      </c>
      <c r="D51" s="12"/>
      <c r="E51" s="15"/>
      <c r="F51" s="20">
        <f>SUM(F44:F50)</f>
        <v>0</v>
      </c>
      <c r="K51" s="126" t="str">
        <f t="shared" si="5"/>
        <v>Credit Union</v>
      </c>
      <c r="L51" s="156"/>
      <c r="M51" s="104"/>
      <c r="N51" s="119"/>
      <c r="O51" s="119"/>
      <c r="P51" s="119"/>
      <c r="Q51" s="116"/>
      <c r="R51" s="165"/>
      <c r="S51" s="165"/>
      <c r="T51" s="147"/>
      <c r="U51" s="53"/>
      <c r="V51" s="170" t="str">
        <f>K13</f>
        <v>Credit Union</v>
      </c>
      <c r="W51" s="156"/>
      <c r="X51" s="104"/>
      <c r="Y51" s="119"/>
      <c r="Z51" s="119"/>
      <c r="AA51" s="119"/>
      <c r="AB51" s="116"/>
      <c r="AC51" s="165"/>
      <c r="AD51" s="165"/>
      <c r="AE51" s="147"/>
      <c r="AF51" s="53"/>
      <c r="AG51" s="170" t="str">
        <f>K13</f>
        <v>Credit Union</v>
      </c>
      <c r="AH51" s="156"/>
      <c r="AI51" s="104"/>
      <c r="AJ51" s="119"/>
      <c r="AK51" s="119"/>
      <c r="AL51" s="119"/>
      <c r="AM51" s="116"/>
      <c r="AN51" s="165"/>
      <c r="AO51" s="165"/>
      <c r="AP51" s="147"/>
      <c r="AQ51" s="53"/>
    </row>
    <row r="52" spans="2:53">
      <c r="B52" s="14"/>
      <c r="C52" s="12"/>
      <c r="D52" s="12"/>
      <c r="E52" s="15"/>
      <c r="F52" s="12"/>
      <c r="K52" s="126" t="str">
        <f t="shared" si="5"/>
        <v>Credit Card</v>
      </c>
      <c r="L52" s="156"/>
      <c r="M52" s="119"/>
      <c r="N52" s="119"/>
      <c r="O52" s="119"/>
      <c r="P52" s="119"/>
      <c r="Q52" s="116"/>
      <c r="R52" s="165"/>
      <c r="S52" s="165"/>
      <c r="T52" s="147"/>
      <c r="U52" s="53"/>
      <c r="V52" s="170" t="str">
        <f>K14</f>
        <v>Credit Card</v>
      </c>
      <c r="W52" s="156"/>
      <c r="X52" s="119"/>
      <c r="Y52" s="119"/>
      <c r="Z52" s="119"/>
      <c r="AA52" s="119"/>
      <c r="AB52" s="116"/>
      <c r="AC52" s="165"/>
      <c r="AD52" s="165"/>
      <c r="AE52" s="147"/>
      <c r="AF52" s="53"/>
      <c r="AG52" s="170" t="str">
        <f>K14</f>
        <v>Credit Card</v>
      </c>
      <c r="AH52" s="156"/>
      <c r="AI52" s="119"/>
      <c r="AJ52" s="119"/>
      <c r="AK52" s="119"/>
      <c r="AL52" s="119"/>
      <c r="AM52" s="116"/>
      <c r="AN52" s="165"/>
      <c r="AO52" s="165"/>
      <c r="AP52" s="147"/>
      <c r="AQ52" s="53"/>
    </row>
    <row r="53" spans="2:53">
      <c r="B53" s="14" t="s">
        <v>9</v>
      </c>
      <c r="C53" s="20">
        <f>SUM(R44:R57+AC44:AC57+AN44:AN57)</f>
        <v>0</v>
      </c>
      <c r="D53" s="12"/>
      <c r="E53" s="15"/>
      <c r="F53" s="20">
        <f>(C53+F34)</f>
        <v>0</v>
      </c>
      <c r="K53" s="126" t="str">
        <f>K15</f>
        <v>Grants</v>
      </c>
      <c r="L53" s="157"/>
      <c r="M53" s="119"/>
      <c r="N53" s="119"/>
      <c r="O53" s="119"/>
      <c r="P53" s="119"/>
      <c r="Q53" s="116"/>
      <c r="R53" s="165"/>
      <c r="S53" s="165"/>
      <c r="T53" s="147"/>
      <c r="U53" s="53"/>
      <c r="V53" s="170" t="str">
        <f>K15</f>
        <v>Grants</v>
      </c>
      <c r="W53" s="157"/>
      <c r="X53" s="119"/>
      <c r="Y53" s="119"/>
      <c r="Z53" s="119"/>
      <c r="AA53" s="119"/>
      <c r="AB53" s="116"/>
      <c r="AC53" s="165"/>
      <c r="AD53" s="165"/>
      <c r="AE53" s="147"/>
      <c r="AF53" s="53"/>
      <c r="AG53" s="170" t="str">
        <f>K15</f>
        <v>Grants</v>
      </c>
      <c r="AH53" s="157"/>
      <c r="AI53" s="119"/>
      <c r="AJ53" s="119"/>
      <c r="AK53" s="119"/>
      <c r="AL53" s="119"/>
      <c r="AM53" s="116"/>
      <c r="AN53" s="165"/>
      <c r="AO53" s="165"/>
      <c r="AP53" s="147"/>
      <c r="AQ53" s="53"/>
    </row>
    <row r="54" spans="2:53" ht="13">
      <c r="B54" s="16" t="s">
        <v>11</v>
      </c>
      <c r="C54" s="21"/>
      <c r="D54" s="13"/>
      <c r="E54" s="16"/>
      <c r="F54" s="20">
        <f>C54+F35</f>
        <v>0</v>
      </c>
      <c r="G54" t="s">
        <v>136</v>
      </c>
      <c r="H54" s="112"/>
      <c r="J54" s="37"/>
      <c r="K54" s="126" t="str">
        <f t="shared" ref="K54:K57" si="6">K16</f>
        <v>Options</v>
      </c>
      <c r="L54" s="156"/>
      <c r="M54" s="119"/>
      <c r="N54" s="119"/>
      <c r="O54" s="119"/>
      <c r="P54" s="119"/>
      <c r="Q54" s="116"/>
      <c r="R54" s="165"/>
      <c r="S54" s="165"/>
      <c r="T54" s="147"/>
      <c r="U54" s="53"/>
      <c r="V54" s="170" t="str">
        <f>K16</f>
        <v>Options</v>
      </c>
      <c r="W54" s="156"/>
      <c r="X54" s="119"/>
      <c r="Y54" s="119"/>
      <c r="Z54" s="119"/>
      <c r="AA54" s="119"/>
      <c r="AB54" s="116"/>
      <c r="AC54" s="165"/>
      <c r="AD54" s="165"/>
      <c r="AE54" s="147"/>
      <c r="AF54" s="53"/>
      <c r="AG54" s="170" t="str">
        <f>K16</f>
        <v>Options</v>
      </c>
      <c r="AH54" s="156"/>
      <c r="AI54" s="119"/>
      <c r="AJ54" s="119"/>
      <c r="AK54" s="119"/>
      <c r="AL54" s="119"/>
      <c r="AM54" s="116"/>
      <c r="AN54" s="165"/>
      <c r="AO54" s="165"/>
      <c r="AP54" s="147"/>
      <c r="AQ54" s="53"/>
    </row>
    <row r="55" spans="2:53">
      <c r="B55" s="14" t="s">
        <v>8</v>
      </c>
      <c r="C55" s="20">
        <f>SUM(C53:C54)</f>
        <v>0</v>
      </c>
      <c r="D55" s="12"/>
      <c r="E55" s="15"/>
      <c r="F55" s="20">
        <f>SUM(F53:F54)</f>
        <v>0</v>
      </c>
      <c r="K55" s="126" t="str">
        <f t="shared" si="6"/>
        <v>Job</v>
      </c>
      <c r="L55" s="156"/>
      <c r="M55" s="119"/>
      <c r="N55" s="119"/>
      <c r="O55" s="119"/>
      <c r="P55" s="119"/>
      <c r="Q55" s="103"/>
      <c r="R55" s="163"/>
      <c r="S55" s="163"/>
      <c r="T55" s="147"/>
      <c r="U55" s="53"/>
      <c r="V55" s="170" t="str">
        <f>K17</f>
        <v>Job</v>
      </c>
      <c r="W55" s="156"/>
      <c r="X55" s="119"/>
      <c r="Y55" s="119"/>
      <c r="Z55" s="119"/>
      <c r="AA55" s="119"/>
      <c r="AB55" s="103"/>
      <c r="AC55" s="163"/>
      <c r="AD55" s="163"/>
      <c r="AE55" s="147"/>
      <c r="AF55" s="53"/>
      <c r="AG55" s="170" t="str">
        <f>K17</f>
        <v>Job</v>
      </c>
      <c r="AH55" s="156"/>
      <c r="AI55" s="119"/>
      <c r="AJ55" s="119"/>
      <c r="AK55" s="119"/>
      <c r="AL55" s="119"/>
      <c r="AM55" s="103"/>
      <c r="AN55" s="163"/>
      <c r="AO55" s="163"/>
      <c r="AP55" s="147"/>
      <c r="AQ55" s="53"/>
    </row>
    <row r="56" spans="2:53">
      <c r="B56" s="17"/>
      <c r="C56" s="12"/>
      <c r="D56" s="12"/>
      <c r="E56" s="15"/>
      <c r="F56" s="12"/>
      <c r="K56" s="126" t="str">
        <f t="shared" si="6"/>
        <v>Contract Job</v>
      </c>
      <c r="L56" s="156"/>
      <c r="M56" s="119"/>
      <c r="N56" s="119"/>
      <c r="O56" s="119"/>
      <c r="P56" s="119"/>
      <c r="Q56" s="116"/>
      <c r="R56" s="165"/>
      <c r="S56" s="165"/>
      <c r="T56" s="122"/>
      <c r="U56" s="53"/>
      <c r="V56" s="170" t="str">
        <f>K18</f>
        <v>Contract Job</v>
      </c>
      <c r="W56" s="156"/>
      <c r="X56" s="119"/>
      <c r="Y56" s="119"/>
      <c r="Z56" s="119"/>
      <c r="AA56" s="119"/>
      <c r="AB56" s="116"/>
      <c r="AC56" s="165"/>
      <c r="AD56" s="165"/>
      <c r="AE56" s="122"/>
      <c r="AF56" s="53"/>
      <c r="AG56" s="170" t="str">
        <f>K18</f>
        <v>Contract Job</v>
      </c>
      <c r="AH56" s="156"/>
      <c r="AI56" s="119"/>
      <c r="AJ56" s="119"/>
      <c r="AK56" s="119"/>
      <c r="AL56" s="119"/>
      <c r="AM56" s="116"/>
      <c r="AN56" s="165"/>
      <c r="AO56" s="165"/>
      <c r="AP56" s="122"/>
      <c r="AQ56" s="53"/>
    </row>
    <row r="57" spans="2:53" ht="13" thickBot="1">
      <c r="B57" s="14" t="s">
        <v>10</v>
      </c>
      <c r="C57" s="20">
        <f>SUM(S44:S57+AD44:AD57+AO44:AO57)</f>
        <v>0</v>
      </c>
      <c r="D57" s="12"/>
      <c r="E57" s="15"/>
      <c r="F57" s="20">
        <f>C57+F38</f>
        <v>0</v>
      </c>
      <c r="K57" s="126">
        <f t="shared" si="6"/>
        <v>0</v>
      </c>
      <c r="L57" s="158"/>
      <c r="M57" s="159"/>
      <c r="N57" s="159"/>
      <c r="O57" s="159"/>
      <c r="P57" s="159"/>
      <c r="Q57" s="148"/>
      <c r="R57" s="166"/>
      <c r="S57" s="166"/>
      <c r="T57" s="149"/>
      <c r="U57" s="53"/>
      <c r="V57" s="170">
        <f>K19</f>
        <v>0</v>
      </c>
      <c r="W57" s="158"/>
      <c r="X57" s="159"/>
      <c r="Y57" s="159"/>
      <c r="Z57" s="159"/>
      <c r="AA57" s="159"/>
      <c r="AB57" s="148"/>
      <c r="AC57" s="166"/>
      <c r="AD57" s="166"/>
      <c r="AE57" s="149"/>
      <c r="AF57" s="53"/>
      <c r="AG57" s="170">
        <f>K19</f>
        <v>0</v>
      </c>
      <c r="AH57" s="158"/>
      <c r="AI57" s="159"/>
      <c r="AJ57" s="159"/>
      <c r="AK57" s="159"/>
      <c r="AL57" s="159"/>
      <c r="AM57" s="148"/>
      <c r="AN57" s="166"/>
      <c r="AO57" s="166"/>
      <c r="AP57" s="149"/>
      <c r="AQ57" s="53"/>
    </row>
    <row r="58" spans="2:53">
      <c r="B58" s="18" t="s">
        <v>12</v>
      </c>
      <c r="C58" s="21"/>
      <c r="D58" s="13"/>
      <c r="E58" s="16"/>
      <c r="F58" s="20">
        <f>C58+F39</f>
        <v>0</v>
      </c>
      <c r="G58" t="s">
        <v>136</v>
      </c>
      <c r="H58" s="113"/>
      <c r="J58" s="36"/>
      <c r="K58" s="118"/>
      <c r="L58" s="117"/>
      <c r="M58" s="117"/>
      <c r="N58" s="117"/>
      <c r="O58" s="117"/>
      <c r="P58" s="117"/>
      <c r="Q58" s="117"/>
      <c r="R58" s="117"/>
      <c r="S58" s="117"/>
      <c r="T58" s="117"/>
      <c r="U58" s="53"/>
      <c r="V58" s="171"/>
      <c r="AF58" s="53"/>
      <c r="AG58" s="171"/>
      <c r="AM58" s="53"/>
      <c r="AN58" s="53"/>
      <c r="AO58" s="53"/>
      <c r="AP58" s="53"/>
      <c r="AQ58" s="53"/>
    </row>
    <row r="59" spans="2:53">
      <c r="B59" s="14" t="s">
        <v>8</v>
      </c>
      <c r="C59" s="20">
        <f>SUM(C57:C58)</f>
        <v>0</v>
      </c>
      <c r="D59" s="11"/>
      <c r="E59" s="15"/>
      <c r="F59" s="20">
        <f>SUM(F57:F58)</f>
        <v>0</v>
      </c>
      <c r="K59" s="124"/>
      <c r="U59" s="53"/>
      <c r="V59" s="171"/>
      <c r="AF59" s="53"/>
      <c r="AG59" s="171"/>
      <c r="AM59" s="53"/>
      <c r="AN59" s="53"/>
      <c r="AO59" s="53"/>
      <c r="AP59" s="53"/>
      <c r="AQ59" s="53"/>
    </row>
    <row r="60" spans="2:53">
      <c r="B60" s="3"/>
      <c r="C60" s="4"/>
      <c r="D60" s="5"/>
      <c r="E60" s="6"/>
      <c r="F60" s="4"/>
      <c r="K60" s="124"/>
      <c r="U60" s="53"/>
      <c r="V60" s="171"/>
      <c r="AF60" s="53"/>
      <c r="AG60" s="171"/>
      <c r="AM60" s="53"/>
      <c r="AN60" s="53"/>
      <c r="AO60" s="53"/>
      <c r="AP60" s="53"/>
      <c r="AQ60" s="53"/>
    </row>
    <row r="61" spans="2:53">
      <c r="B61" s="8" t="s">
        <v>174</v>
      </c>
      <c r="C61" s="2"/>
      <c r="E61" s="1"/>
      <c r="F61" s="7" t="s">
        <v>179</v>
      </c>
      <c r="K61" s="118" t="s">
        <v>129</v>
      </c>
      <c r="U61" s="53"/>
      <c r="V61" s="172" t="s">
        <v>130</v>
      </c>
      <c r="AF61" s="53"/>
      <c r="AG61" s="172" t="s">
        <v>131</v>
      </c>
      <c r="AM61" s="53"/>
      <c r="AN61" s="53"/>
      <c r="AO61" s="53"/>
      <c r="AP61" s="53"/>
      <c r="AQ61" s="53"/>
      <c r="AR61" s="118" t="s">
        <v>132</v>
      </c>
    </row>
    <row r="62" spans="2:53" ht="13" thickBot="1">
      <c r="B62" s="9" t="s">
        <v>15</v>
      </c>
      <c r="C62" s="19" t="s">
        <v>14</v>
      </c>
      <c r="D62" s="10"/>
      <c r="E62" s="10"/>
      <c r="F62" s="19" t="s">
        <v>13</v>
      </c>
      <c r="K62" s="118" t="s">
        <v>118</v>
      </c>
      <c r="L62" s="7" t="s">
        <v>6</v>
      </c>
      <c r="M62" s="7" t="s">
        <v>7</v>
      </c>
      <c r="N62" s="7" t="s">
        <v>115</v>
      </c>
      <c r="O62" s="7" t="s">
        <v>116</v>
      </c>
      <c r="P62" s="7" t="s">
        <v>117</v>
      </c>
      <c r="Q62" s="7" t="s">
        <v>194</v>
      </c>
      <c r="R62" s="7" t="s">
        <v>198</v>
      </c>
      <c r="S62" s="7" t="s">
        <v>199</v>
      </c>
      <c r="T62" s="7" t="s">
        <v>195</v>
      </c>
      <c r="U62" s="53"/>
      <c r="V62" s="172" t="s">
        <v>118</v>
      </c>
      <c r="W62" s="7" t="s">
        <v>6</v>
      </c>
      <c r="X62" s="7" t="s">
        <v>7</v>
      </c>
      <c r="Y62" s="7" t="s">
        <v>115</v>
      </c>
      <c r="Z62" s="7" t="s">
        <v>116</v>
      </c>
      <c r="AA62" s="7" t="s">
        <v>117</v>
      </c>
      <c r="AB62" s="7" t="s">
        <v>194</v>
      </c>
      <c r="AC62" s="7" t="s">
        <v>198</v>
      </c>
      <c r="AD62" s="7" t="s">
        <v>199</v>
      </c>
      <c r="AE62" s="7" t="s">
        <v>195</v>
      </c>
      <c r="AF62" s="53"/>
      <c r="AG62" s="172" t="s">
        <v>118</v>
      </c>
      <c r="AH62" s="7" t="s">
        <v>6</v>
      </c>
      <c r="AI62" s="7" t="s">
        <v>7</v>
      </c>
      <c r="AJ62" s="7" t="s">
        <v>115</v>
      </c>
      <c r="AK62" s="7" t="s">
        <v>116</v>
      </c>
      <c r="AL62" s="7" t="s">
        <v>117</v>
      </c>
      <c r="AM62" s="7" t="s">
        <v>194</v>
      </c>
      <c r="AN62" s="7" t="s">
        <v>198</v>
      </c>
      <c r="AO62" s="7" t="s">
        <v>199</v>
      </c>
      <c r="AP62" s="7" t="s">
        <v>195</v>
      </c>
      <c r="AQ62" s="53"/>
      <c r="AR62" s="118" t="s">
        <v>118</v>
      </c>
      <c r="AS62" s="7" t="s">
        <v>6</v>
      </c>
      <c r="AT62" s="7" t="s">
        <v>7</v>
      </c>
      <c r="AU62" s="7" t="s">
        <v>115</v>
      </c>
      <c r="AV62" s="7" t="s">
        <v>116</v>
      </c>
      <c r="AW62" s="7" t="s">
        <v>117</v>
      </c>
      <c r="AX62" s="7" t="s">
        <v>194</v>
      </c>
      <c r="AY62" s="7" t="s">
        <v>198</v>
      </c>
      <c r="AZ62" s="7" t="s">
        <v>199</v>
      </c>
      <c r="BA62" s="7" t="s">
        <v>195</v>
      </c>
    </row>
    <row r="63" spans="2:53">
      <c r="B63" s="11" t="s">
        <v>16</v>
      </c>
      <c r="C63" s="20">
        <f>SUM(Q63:Q76+AB63:AB76+AM63:AM76+AX63:AX76)</f>
        <v>0</v>
      </c>
      <c r="D63" s="12"/>
      <c r="E63" s="11"/>
      <c r="F63" s="20">
        <f t="shared" ref="F63:F69" si="7">SUM(C6+C25+C44+C63)</f>
        <v>0</v>
      </c>
      <c r="H63" s="22"/>
      <c r="K63" s="126" t="str">
        <f>K6</f>
        <v>Brokerage 1</v>
      </c>
      <c r="L63" s="154"/>
      <c r="M63" s="155"/>
      <c r="N63" s="155"/>
      <c r="O63" s="155"/>
      <c r="P63" s="155"/>
      <c r="Q63" s="168"/>
      <c r="R63" s="169"/>
      <c r="S63" s="169"/>
      <c r="T63" s="167"/>
      <c r="U63" s="53"/>
      <c r="V63" s="170" t="str">
        <f>K6</f>
        <v>Brokerage 1</v>
      </c>
      <c r="W63" s="154"/>
      <c r="X63" s="155"/>
      <c r="Y63" s="155"/>
      <c r="Z63" s="155"/>
      <c r="AA63" s="155"/>
      <c r="AB63" s="168"/>
      <c r="AC63" s="169"/>
      <c r="AD63" s="169"/>
      <c r="AE63" s="167"/>
      <c r="AF63" s="53"/>
      <c r="AG63" s="170" t="str">
        <f>K6</f>
        <v>Brokerage 1</v>
      </c>
      <c r="AH63" s="154"/>
      <c r="AI63" s="155"/>
      <c r="AJ63" s="155"/>
      <c r="AK63" s="155"/>
      <c r="AL63" s="155"/>
      <c r="AM63" s="168"/>
      <c r="AN63" s="169"/>
      <c r="AO63" s="169"/>
      <c r="AP63" s="167"/>
      <c r="AQ63" s="114"/>
      <c r="AR63" s="146" t="str">
        <f>K6</f>
        <v>Brokerage 1</v>
      </c>
      <c r="AS63" s="154"/>
      <c r="AT63" s="155"/>
      <c r="AU63" s="155"/>
      <c r="AV63" s="155"/>
      <c r="AW63" s="155"/>
      <c r="AX63" s="168"/>
      <c r="AY63" s="169"/>
      <c r="AZ63" s="169"/>
      <c r="BA63" s="167"/>
    </row>
    <row r="64" spans="2:53">
      <c r="B64" s="15" t="s">
        <v>51</v>
      </c>
      <c r="C64" s="20">
        <f>SUM(T63:T76+AE63:AE76+AP63:AP76+BA63:BA76)</f>
        <v>0</v>
      </c>
      <c r="D64" s="12"/>
      <c r="E64" s="11"/>
      <c r="F64" s="20">
        <f t="shared" si="7"/>
        <v>0</v>
      </c>
      <c r="H64" s="22"/>
      <c r="K64" s="126" t="str">
        <f t="shared" ref="K64:K76" si="8">K7</f>
        <v>Brokerage 2</v>
      </c>
      <c r="L64" s="156"/>
      <c r="M64" s="119"/>
      <c r="N64" s="119"/>
      <c r="O64" s="119"/>
      <c r="P64" s="119"/>
      <c r="Q64" s="116"/>
      <c r="R64" s="165"/>
      <c r="S64" s="165"/>
      <c r="T64" s="147"/>
      <c r="U64" s="53"/>
      <c r="V64" s="170" t="str">
        <f>K7</f>
        <v>Brokerage 2</v>
      </c>
      <c r="W64" s="156"/>
      <c r="X64" s="119"/>
      <c r="Y64" s="119"/>
      <c r="Z64" s="119"/>
      <c r="AA64" s="119"/>
      <c r="AB64" s="116"/>
      <c r="AC64" s="165"/>
      <c r="AD64" s="165"/>
      <c r="AE64" s="147"/>
      <c r="AF64" s="53"/>
      <c r="AG64" s="170" t="str">
        <f>K7</f>
        <v>Brokerage 2</v>
      </c>
      <c r="AH64" s="156"/>
      <c r="AI64" s="119"/>
      <c r="AJ64" s="119"/>
      <c r="AK64" s="119"/>
      <c r="AL64" s="119"/>
      <c r="AM64" s="116"/>
      <c r="AN64" s="165"/>
      <c r="AO64" s="165"/>
      <c r="AP64" s="147"/>
      <c r="AQ64" s="114"/>
      <c r="AR64" s="146" t="str">
        <f>K7</f>
        <v>Brokerage 2</v>
      </c>
      <c r="AS64" s="156"/>
      <c r="AT64" s="119"/>
      <c r="AU64" s="119"/>
      <c r="AV64" s="119"/>
      <c r="AW64" s="119"/>
      <c r="AX64" s="116"/>
      <c r="AY64" s="165"/>
      <c r="AZ64" s="165"/>
      <c r="BA64" s="147"/>
    </row>
    <row r="65" spans="2:53">
      <c r="B65" s="11" t="s">
        <v>6</v>
      </c>
      <c r="C65" s="20">
        <f>SUM(L63:L76,W63:W76,AH63:AH76,AS63:AS76)</f>
        <v>0</v>
      </c>
      <c r="D65" s="12"/>
      <c r="E65" s="11"/>
      <c r="F65" s="20">
        <f>SUM(C8+C27+C46+C65)</f>
        <v>0</v>
      </c>
      <c r="H65" s="1"/>
      <c r="K65" s="126" t="str">
        <f t="shared" si="8"/>
        <v>401K</v>
      </c>
      <c r="L65" s="157"/>
      <c r="M65" s="104"/>
      <c r="N65" s="104"/>
      <c r="O65" s="104"/>
      <c r="P65" s="104"/>
      <c r="Q65" s="116"/>
      <c r="R65" s="165"/>
      <c r="S65" s="165"/>
      <c r="T65" s="147"/>
      <c r="U65" s="53"/>
      <c r="V65" s="170" t="str">
        <f>K8</f>
        <v>401K</v>
      </c>
      <c r="W65" s="157"/>
      <c r="X65" s="104"/>
      <c r="Y65" s="104"/>
      <c r="Z65" s="104"/>
      <c r="AA65" s="104"/>
      <c r="AB65" s="116"/>
      <c r="AC65" s="165"/>
      <c r="AD65" s="165"/>
      <c r="AE65" s="147"/>
      <c r="AF65" s="53"/>
      <c r="AG65" s="170" t="str">
        <f>K8</f>
        <v>401K</v>
      </c>
      <c r="AH65" s="157"/>
      <c r="AI65" s="104"/>
      <c r="AJ65" s="104"/>
      <c r="AK65" s="104"/>
      <c r="AL65" s="104"/>
      <c r="AM65" s="116"/>
      <c r="AN65" s="165"/>
      <c r="AO65" s="165"/>
      <c r="AP65" s="147"/>
      <c r="AQ65" s="53"/>
      <c r="AR65" s="170" t="str">
        <f>K8</f>
        <v>401K</v>
      </c>
      <c r="AS65" s="157"/>
      <c r="AT65" s="104"/>
      <c r="AU65" s="104"/>
      <c r="AV65" s="104"/>
      <c r="AW65" s="104"/>
      <c r="AX65" s="116"/>
      <c r="AY65" s="165"/>
      <c r="AZ65" s="165"/>
      <c r="BA65" s="147"/>
    </row>
    <row r="66" spans="2:53">
      <c r="B66" s="11" t="s">
        <v>7</v>
      </c>
      <c r="C66" s="20">
        <f>SUM(M63:M76,X63:X76,AI63:AI76,AT63:AT76)</f>
        <v>0</v>
      </c>
      <c r="D66" s="12"/>
      <c r="E66" s="11"/>
      <c r="F66" s="20">
        <f>SUM(C9+C28+C47+C66)</f>
        <v>0</v>
      </c>
      <c r="H66" s="1"/>
      <c r="K66" s="126" t="str">
        <f t="shared" si="8"/>
        <v>IRA</v>
      </c>
      <c r="L66" s="156"/>
      <c r="M66" s="119"/>
      <c r="N66" s="119"/>
      <c r="O66" s="119"/>
      <c r="P66" s="119"/>
      <c r="Q66" s="116"/>
      <c r="R66" s="165"/>
      <c r="S66" s="165"/>
      <c r="T66" s="147"/>
      <c r="U66" s="53"/>
      <c r="V66" s="170" t="str">
        <f>K9</f>
        <v>IRA</v>
      </c>
      <c r="W66" s="156"/>
      <c r="X66" s="119"/>
      <c r="Y66" s="119"/>
      <c r="Z66" s="119"/>
      <c r="AA66" s="119"/>
      <c r="AB66" s="116"/>
      <c r="AC66" s="165"/>
      <c r="AD66" s="165"/>
      <c r="AE66" s="147"/>
      <c r="AF66" s="53"/>
      <c r="AG66" s="170" t="str">
        <f>K9</f>
        <v>IRA</v>
      </c>
      <c r="AH66" s="156"/>
      <c r="AI66" s="119"/>
      <c r="AJ66" s="119"/>
      <c r="AK66" s="119"/>
      <c r="AL66" s="119"/>
      <c r="AM66" s="116"/>
      <c r="AN66" s="165"/>
      <c r="AO66" s="165"/>
      <c r="AP66" s="147"/>
      <c r="AQ66" s="114"/>
      <c r="AR66" s="146" t="str">
        <f>K9</f>
        <v>IRA</v>
      </c>
      <c r="AS66" s="156"/>
      <c r="AT66" s="119"/>
      <c r="AU66" s="119"/>
      <c r="AV66" s="119"/>
      <c r="AW66" s="119"/>
      <c r="AX66" s="116"/>
      <c r="AY66" s="165"/>
      <c r="AZ66" s="165"/>
      <c r="BA66" s="147"/>
    </row>
    <row r="67" spans="2:53">
      <c r="B67" s="11" t="s">
        <v>37</v>
      </c>
      <c r="C67" s="20">
        <f>SUM(N63:N76,Y63:Y76,AJ63:AJ76,AU63:AU76)</f>
        <v>0</v>
      </c>
      <c r="D67" s="12"/>
      <c r="E67" s="11"/>
      <c r="F67" s="20">
        <f t="shared" si="7"/>
        <v>0</v>
      </c>
      <c r="K67" s="126" t="str">
        <f t="shared" si="8"/>
        <v>Mutual Fund 1</v>
      </c>
      <c r="L67" s="157"/>
      <c r="M67" s="104"/>
      <c r="N67" s="104"/>
      <c r="O67" s="104"/>
      <c r="P67" s="104"/>
      <c r="Q67" s="116"/>
      <c r="R67" s="165"/>
      <c r="S67" s="165"/>
      <c r="T67" s="147"/>
      <c r="U67" s="53"/>
      <c r="V67" s="170" t="str">
        <f>K10</f>
        <v>Mutual Fund 1</v>
      </c>
      <c r="W67" s="157"/>
      <c r="X67" s="104"/>
      <c r="Y67" s="104"/>
      <c r="Z67" s="104"/>
      <c r="AA67" s="104"/>
      <c r="AB67" s="116"/>
      <c r="AC67" s="165"/>
      <c r="AD67" s="165"/>
      <c r="AE67" s="147"/>
      <c r="AF67" s="53"/>
      <c r="AG67" s="170" t="str">
        <f>K10</f>
        <v>Mutual Fund 1</v>
      </c>
      <c r="AH67" s="157"/>
      <c r="AI67" s="104"/>
      <c r="AJ67" s="104"/>
      <c r="AK67" s="104"/>
      <c r="AL67" s="104"/>
      <c r="AM67" s="116"/>
      <c r="AN67" s="165"/>
      <c r="AO67" s="165"/>
      <c r="AP67" s="147"/>
      <c r="AQ67" s="114"/>
      <c r="AR67" s="146" t="str">
        <f>K10</f>
        <v>Mutual Fund 1</v>
      </c>
      <c r="AS67" s="157"/>
      <c r="AT67" s="104"/>
      <c r="AU67" s="104"/>
      <c r="AV67" s="104"/>
      <c r="AW67" s="104"/>
      <c r="AX67" s="116"/>
      <c r="AY67" s="165"/>
      <c r="AZ67" s="165"/>
      <c r="BA67" s="147"/>
    </row>
    <row r="68" spans="2:53">
      <c r="B68" s="11" t="s">
        <v>17</v>
      </c>
      <c r="C68" s="20">
        <f>SUM(O63:O76,Z63:Z76,AK63:AK76,AV63:AV76)</f>
        <v>0</v>
      </c>
      <c r="D68" s="12"/>
      <c r="E68" s="11"/>
      <c r="F68" s="20">
        <f t="shared" si="7"/>
        <v>0</v>
      </c>
      <c r="K68" s="126" t="str">
        <f t="shared" si="8"/>
        <v>Mut Fund 2</v>
      </c>
      <c r="L68" s="157"/>
      <c r="M68" s="104"/>
      <c r="N68" s="104"/>
      <c r="O68" s="104"/>
      <c r="P68" s="104"/>
      <c r="Q68" s="116"/>
      <c r="R68" s="165"/>
      <c r="S68" s="165"/>
      <c r="T68" s="147"/>
      <c r="U68" s="53"/>
      <c r="V68" s="170" t="str">
        <f>K11</f>
        <v>Mut Fund 2</v>
      </c>
      <c r="W68" s="157"/>
      <c r="X68" s="104"/>
      <c r="Y68" s="104"/>
      <c r="Z68" s="104"/>
      <c r="AA68" s="104"/>
      <c r="AB68" s="116"/>
      <c r="AC68" s="165"/>
      <c r="AD68" s="165"/>
      <c r="AE68" s="147"/>
      <c r="AF68" s="53"/>
      <c r="AG68" s="170" t="str">
        <f>K11</f>
        <v>Mut Fund 2</v>
      </c>
      <c r="AH68" s="157"/>
      <c r="AI68" s="104"/>
      <c r="AJ68" s="104"/>
      <c r="AK68" s="104"/>
      <c r="AL68" s="104"/>
      <c r="AM68" s="116"/>
      <c r="AN68" s="165"/>
      <c r="AO68" s="165"/>
      <c r="AP68" s="147"/>
      <c r="AQ68" s="114"/>
      <c r="AR68" s="146" t="str">
        <f>K11</f>
        <v>Mut Fund 2</v>
      </c>
      <c r="AS68" s="157"/>
      <c r="AT68" s="104"/>
      <c r="AU68" s="104"/>
      <c r="AV68" s="104"/>
      <c r="AW68" s="104"/>
      <c r="AX68" s="116"/>
      <c r="AY68" s="165"/>
      <c r="AZ68" s="165"/>
      <c r="BA68" s="147"/>
    </row>
    <row r="69" spans="2:53">
      <c r="B69" s="11" t="s">
        <v>26</v>
      </c>
      <c r="C69" s="20">
        <f>SUM(P63:P76,AA63:AA76,AL63:AL76,AW63:AW76)</f>
        <v>0</v>
      </c>
      <c r="D69" s="12"/>
      <c r="E69" s="11"/>
      <c r="F69" s="20">
        <f t="shared" si="7"/>
        <v>0</v>
      </c>
      <c r="K69" s="126" t="str">
        <f t="shared" si="8"/>
        <v>Bank 1</v>
      </c>
      <c r="L69" s="156"/>
      <c r="M69" s="104"/>
      <c r="N69" s="119"/>
      <c r="O69" s="119"/>
      <c r="P69" s="119"/>
      <c r="Q69" s="116"/>
      <c r="R69" s="165"/>
      <c r="S69" s="165"/>
      <c r="T69" s="147"/>
      <c r="U69" s="114"/>
      <c r="V69" s="146" t="str">
        <f>K12</f>
        <v>Bank 1</v>
      </c>
      <c r="W69" s="156"/>
      <c r="X69" s="104"/>
      <c r="Y69" s="119"/>
      <c r="Z69" s="119"/>
      <c r="AA69" s="119"/>
      <c r="AB69" s="116"/>
      <c r="AC69" s="165"/>
      <c r="AD69" s="165"/>
      <c r="AE69" s="147"/>
      <c r="AF69" s="53"/>
      <c r="AG69" s="170" t="str">
        <f>K12</f>
        <v>Bank 1</v>
      </c>
      <c r="AH69" s="156"/>
      <c r="AI69" s="104"/>
      <c r="AJ69" s="119"/>
      <c r="AK69" s="119"/>
      <c r="AL69" s="119"/>
      <c r="AM69" s="116"/>
      <c r="AN69" s="165"/>
      <c r="AO69" s="165"/>
      <c r="AP69" s="147"/>
      <c r="AQ69" s="114"/>
      <c r="AR69" s="146" t="str">
        <f>K12</f>
        <v>Bank 1</v>
      </c>
      <c r="AS69" s="156"/>
      <c r="AT69" s="104"/>
      <c r="AU69" s="119"/>
      <c r="AV69" s="119"/>
      <c r="AW69" s="119"/>
      <c r="AX69" s="116"/>
      <c r="AY69" s="165"/>
      <c r="AZ69" s="165"/>
      <c r="BA69" s="147"/>
    </row>
    <row r="70" spans="2:53">
      <c r="B70" s="14" t="s">
        <v>8</v>
      </c>
      <c r="C70" s="20">
        <f>SUM(C63:C69)</f>
        <v>0</v>
      </c>
      <c r="D70" s="12"/>
      <c r="E70" s="15"/>
      <c r="F70" s="20">
        <f>SUM(F63:F69)</f>
        <v>0</v>
      </c>
      <c r="K70" s="126" t="str">
        <f t="shared" si="8"/>
        <v>Credit Union</v>
      </c>
      <c r="L70" s="156"/>
      <c r="M70" s="104"/>
      <c r="N70" s="119"/>
      <c r="O70" s="119"/>
      <c r="P70" s="119"/>
      <c r="Q70" s="116"/>
      <c r="R70" s="165"/>
      <c r="S70" s="165"/>
      <c r="T70" s="147"/>
      <c r="U70" s="114"/>
      <c r="V70" s="146" t="str">
        <f>K13</f>
        <v>Credit Union</v>
      </c>
      <c r="W70" s="156"/>
      <c r="X70" s="104"/>
      <c r="Y70" s="119"/>
      <c r="Z70" s="119"/>
      <c r="AA70" s="119"/>
      <c r="AB70" s="116"/>
      <c r="AC70" s="165"/>
      <c r="AD70" s="165"/>
      <c r="AE70" s="147"/>
      <c r="AF70" s="53"/>
      <c r="AG70" s="170" t="str">
        <f>K13</f>
        <v>Credit Union</v>
      </c>
      <c r="AH70" s="156"/>
      <c r="AI70" s="104"/>
      <c r="AJ70" s="119"/>
      <c r="AK70" s="119"/>
      <c r="AL70" s="119"/>
      <c r="AM70" s="116"/>
      <c r="AN70" s="165"/>
      <c r="AO70" s="165"/>
      <c r="AP70" s="147"/>
      <c r="AQ70" s="114"/>
      <c r="AR70" s="146" t="str">
        <f>K13</f>
        <v>Credit Union</v>
      </c>
      <c r="AS70" s="156"/>
      <c r="AT70" s="104"/>
      <c r="AU70" s="119"/>
      <c r="AV70" s="119"/>
      <c r="AW70" s="119"/>
      <c r="AX70" s="116"/>
      <c r="AY70" s="165"/>
      <c r="AZ70" s="165"/>
      <c r="BA70" s="147"/>
    </row>
    <row r="71" spans="2:53">
      <c r="B71" s="11"/>
      <c r="C71" s="11"/>
      <c r="D71" s="11"/>
      <c r="E71" s="11"/>
      <c r="F71" s="11"/>
      <c r="K71" s="126" t="str">
        <f t="shared" si="8"/>
        <v>Credit Card</v>
      </c>
      <c r="L71" s="156"/>
      <c r="M71" s="119"/>
      <c r="N71" s="119"/>
      <c r="O71" s="119"/>
      <c r="P71" s="119"/>
      <c r="Q71" s="116"/>
      <c r="R71" s="165"/>
      <c r="S71" s="165"/>
      <c r="T71" s="147"/>
      <c r="U71" s="114"/>
      <c r="V71" s="146" t="str">
        <f>K14</f>
        <v>Credit Card</v>
      </c>
      <c r="W71" s="156"/>
      <c r="X71" s="119"/>
      <c r="Y71" s="119"/>
      <c r="Z71" s="119"/>
      <c r="AA71" s="119"/>
      <c r="AB71" s="116"/>
      <c r="AC71" s="165"/>
      <c r="AD71" s="165"/>
      <c r="AE71" s="147"/>
      <c r="AF71" s="53"/>
      <c r="AG71" s="170" t="str">
        <f>K14</f>
        <v>Credit Card</v>
      </c>
      <c r="AH71" s="156"/>
      <c r="AI71" s="119"/>
      <c r="AJ71" s="119"/>
      <c r="AK71" s="119"/>
      <c r="AL71" s="119"/>
      <c r="AM71" s="116"/>
      <c r="AN71" s="165"/>
      <c r="AO71" s="165"/>
      <c r="AP71" s="147"/>
      <c r="AQ71" s="114"/>
      <c r="AR71" s="146" t="str">
        <f>K14</f>
        <v>Credit Card</v>
      </c>
      <c r="AS71" s="156"/>
      <c r="AT71" s="119"/>
      <c r="AU71" s="119"/>
      <c r="AV71" s="119"/>
      <c r="AW71" s="119"/>
      <c r="AX71" s="116"/>
      <c r="AY71" s="165"/>
      <c r="AZ71" s="165"/>
      <c r="BA71" s="147"/>
    </row>
    <row r="72" spans="2:53">
      <c r="B72" s="14" t="s">
        <v>9</v>
      </c>
      <c r="C72" s="20">
        <f>SUM(R63:R76+AC63:AC76+AN63:AN76+AY63:AY76)</f>
        <v>0</v>
      </c>
      <c r="D72" s="12"/>
      <c r="E72" s="15"/>
      <c r="F72" s="20">
        <f>(C72+F53)</f>
        <v>0</v>
      </c>
      <c r="H72" s="22"/>
      <c r="K72" s="126" t="str">
        <f t="shared" si="8"/>
        <v>Grants</v>
      </c>
      <c r="L72" s="157"/>
      <c r="M72" s="119"/>
      <c r="N72" s="119"/>
      <c r="O72" s="119"/>
      <c r="P72" s="119"/>
      <c r="Q72" s="116"/>
      <c r="R72" s="165"/>
      <c r="S72" s="165"/>
      <c r="T72" s="147"/>
      <c r="U72" s="114"/>
      <c r="V72" s="146" t="str">
        <f>K15</f>
        <v>Grants</v>
      </c>
      <c r="W72" s="157"/>
      <c r="X72" s="119"/>
      <c r="Y72" s="119"/>
      <c r="Z72" s="119"/>
      <c r="AA72" s="119"/>
      <c r="AB72" s="116"/>
      <c r="AC72" s="165"/>
      <c r="AD72" s="165"/>
      <c r="AE72" s="147"/>
      <c r="AF72" s="53"/>
      <c r="AG72" s="170" t="str">
        <f>K15</f>
        <v>Grants</v>
      </c>
      <c r="AH72" s="157"/>
      <c r="AI72" s="119"/>
      <c r="AJ72" s="119"/>
      <c r="AK72" s="119"/>
      <c r="AL72" s="119"/>
      <c r="AM72" s="116"/>
      <c r="AN72" s="165"/>
      <c r="AO72" s="165"/>
      <c r="AP72" s="147"/>
      <c r="AQ72" s="114"/>
      <c r="AR72" s="146" t="str">
        <f>K15</f>
        <v>Grants</v>
      </c>
      <c r="AS72" s="157"/>
      <c r="AT72" s="119"/>
      <c r="AU72" s="119"/>
      <c r="AV72" s="119"/>
      <c r="AW72" s="119"/>
      <c r="AX72" s="116"/>
      <c r="AY72" s="165"/>
      <c r="AZ72" s="165"/>
      <c r="BA72" s="147"/>
    </row>
    <row r="73" spans="2:53">
      <c r="B73" s="16" t="s">
        <v>11</v>
      </c>
      <c r="C73" s="21"/>
      <c r="D73" s="13"/>
      <c r="E73" s="16"/>
      <c r="F73" s="20">
        <f>C73+F54</f>
        <v>0</v>
      </c>
      <c r="G73" t="s">
        <v>136</v>
      </c>
      <c r="H73" s="111"/>
      <c r="J73" s="37"/>
      <c r="K73" s="126" t="str">
        <f t="shared" si="8"/>
        <v>Options</v>
      </c>
      <c r="L73" s="156"/>
      <c r="M73" s="119"/>
      <c r="N73" s="119"/>
      <c r="O73" s="119"/>
      <c r="P73" s="119"/>
      <c r="Q73" s="116"/>
      <c r="R73" s="165"/>
      <c r="S73" s="165"/>
      <c r="T73" s="147"/>
      <c r="U73" s="114"/>
      <c r="V73" s="146" t="str">
        <f>K16</f>
        <v>Options</v>
      </c>
      <c r="W73" s="156"/>
      <c r="X73" s="119"/>
      <c r="Y73" s="119"/>
      <c r="Z73" s="119"/>
      <c r="AA73" s="119"/>
      <c r="AB73" s="116"/>
      <c r="AC73" s="165"/>
      <c r="AD73" s="165"/>
      <c r="AE73" s="147"/>
      <c r="AF73" s="114"/>
      <c r="AG73" s="146" t="str">
        <f>K16</f>
        <v>Options</v>
      </c>
      <c r="AH73" s="156"/>
      <c r="AI73" s="119"/>
      <c r="AJ73" s="119"/>
      <c r="AK73" s="119"/>
      <c r="AL73" s="119"/>
      <c r="AM73" s="116"/>
      <c r="AN73" s="165"/>
      <c r="AO73" s="165"/>
      <c r="AP73" s="147"/>
      <c r="AQ73" s="114"/>
      <c r="AR73" s="146" t="str">
        <f>K16</f>
        <v>Options</v>
      </c>
      <c r="AS73" s="156"/>
      <c r="AT73" s="119"/>
      <c r="AU73" s="119"/>
      <c r="AV73" s="119"/>
      <c r="AW73" s="119"/>
      <c r="AX73" s="116"/>
      <c r="AY73" s="165"/>
      <c r="AZ73" s="165"/>
      <c r="BA73" s="147"/>
    </row>
    <row r="74" spans="2:53">
      <c r="B74" s="14" t="s">
        <v>8</v>
      </c>
      <c r="C74" s="20">
        <f>SUM(C72:C73)</f>
        <v>0</v>
      </c>
      <c r="D74" s="12"/>
      <c r="E74" s="15"/>
      <c r="F74" s="20">
        <f>SUM(F72:F73)</f>
        <v>0</v>
      </c>
      <c r="K74" s="126" t="str">
        <f t="shared" si="8"/>
        <v>Job</v>
      </c>
      <c r="L74" s="156"/>
      <c r="M74" s="119"/>
      <c r="N74" s="119"/>
      <c r="O74" s="119"/>
      <c r="P74" s="119"/>
      <c r="Q74" s="103"/>
      <c r="R74" s="163"/>
      <c r="S74" s="163"/>
      <c r="T74" s="147"/>
      <c r="U74" s="114"/>
      <c r="V74" s="146" t="str">
        <f>K17</f>
        <v>Job</v>
      </c>
      <c r="W74" s="156"/>
      <c r="X74" s="119"/>
      <c r="Y74" s="119"/>
      <c r="Z74" s="119"/>
      <c r="AA74" s="119"/>
      <c r="AB74" s="103"/>
      <c r="AC74" s="163"/>
      <c r="AD74" s="163"/>
      <c r="AE74" s="147"/>
      <c r="AF74" s="114"/>
      <c r="AG74" s="146" t="str">
        <f>K17</f>
        <v>Job</v>
      </c>
      <c r="AH74" s="156"/>
      <c r="AI74" s="119"/>
      <c r="AJ74" s="119"/>
      <c r="AK74" s="119"/>
      <c r="AL74" s="119"/>
      <c r="AM74" s="103"/>
      <c r="AN74" s="163"/>
      <c r="AO74" s="163"/>
      <c r="AP74" s="147"/>
      <c r="AQ74" s="114"/>
      <c r="AR74" s="146" t="str">
        <f>K17</f>
        <v>Job</v>
      </c>
      <c r="AS74" s="156"/>
      <c r="AT74" s="119"/>
      <c r="AU74" s="119"/>
      <c r="AV74" s="119"/>
      <c r="AW74" s="119"/>
      <c r="AX74" s="103"/>
      <c r="AY74" s="163"/>
      <c r="AZ74" s="163"/>
      <c r="BA74" s="147"/>
    </row>
    <row r="75" spans="2:53">
      <c r="B75" s="17"/>
      <c r="C75" s="12"/>
      <c r="D75" s="12"/>
      <c r="E75" s="15"/>
      <c r="F75" s="12"/>
      <c r="K75" s="126" t="str">
        <f t="shared" si="8"/>
        <v>Contract Job</v>
      </c>
      <c r="L75" s="156"/>
      <c r="M75" s="119"/>
      <c r="N75" s="119"/>
      <c r="O75" s="119"/>
      <c r="P75" s="119"/>
      <c r="Q75" s="116"/>
      <c r="R75" s="165"/>
      <c r="S75" s="165"/>
      <c r="T75" s="122"/>
      <c r="U75" s="114"/>
      <c r="V75" s="146" t="str">
        <f>K18</f>
        <v>Contract Job</v>
      </c>
      <c r="W75" s="156"/>
      <c r="X75" s="119"/>
      <c r="Y75" s="119"/>
      <c r="Z75" s="119"/>
      <c r="AA75" s="119"/>
      <c r="AB75" s="116"/>
      <c r="AC75" s="165"/>
      <c r="AD75" s="165"/>
      <c r="AE75" s="122"/>
      <c r="AF75" s="114"/>
      <c r="AG75" s="146" t="str">
        <f>K18</f>
        <v>Contract Job</v>
      </c>
      <c r="AH75" s="156"/>
      <c r="AI75" s="119"/>
      <c r="AJ75" s="119"/>
      <c r="AK75" s="119"/>
      <c r="AL75" s="119"/>
      <c r="AM75" s="116"/>
      <c r="AN75" s="165"/>
      <c r="AO75" s="165"/>
      <c r="AP75" s="122"/>
      <c r="AQ75" s="114"/>
      <c r="AR75" s="146" t="str">
        <f>K18</f>
        <v>Contract Job</v>
      </c>
      <c r="AS75" s="156"/>
      <c r="AT75" s="119"/>
      <c r="AU75" s="119"/>
      <c r="AV75" s="119"/>
      <c r="AW75" s="119"/>
      <c r="AX75" s="116"/>
      <c r="AY75" s="165"/>
      <c r="AZ75" s="165"/>
      <c r="BA75" s="122"/>
    </row>
    <row r="76" spans="2:53" ht="13" thickBot="1">
      <c r="B76" s="14" t="s">
        <v>10</v>
      </c>
      <c r="C76" s="20">
        <f>SUM(S63:S76+AD63:AD76+AO63:AO76+AZ63:AZ76)</f>
        <v>0</v>
      </c>
      <c r="D76" s="12"/>
      <c r="E76" s="15"/>
      <c r="F76" s="20">
        <f>C76+F57</f>
        <v>0</v>
      </c>
      <c r="H76" s="22"/>
      <c r="K76" s="126">
        <f t="shared" si="8"/>
        <v>0</v>
      </c>
      <c r="L76" s="158"/>
      <c r="M76" s="159"/>
      <c r="N76" s="159"/>
      <c r="O76" s="159"/>
      <c r="P76" s="159"/>
      <c r="Q76" s="148"/>
      <c r="R76" s="166"/>
      <c r="S76" s="166"/>
      <c r="T76" s="149"/>
      <c r="U76" s="114"/>
      <c r="V76" s="146">
        <f>K19</f>
        <v>0</v>
      </c>
      <c r="W76" s="158"/>
      <c r="X76" s="159"/>
      <c r="Y76" s="159"/>
      <c r="Z76" s="159"/>
      <c r="AA76" s="159"/>
      <c r="AB76" s="148"/>
      <c r="AC76" s="166"/>
      <c r="AD76" s="166"/>
      <c r="AE76" s="149"/>
      <c r="AF76" s="114"/>
      <c r="AG76" s="146">
        <f>K19</f>
        <v>0</v>
      </c>
      <c r="AH76" s="158"/>
      <c r="AI76" s="159"/>
      <c r="AJ76" s="159"/>
      <c r="AK76" s="159"/>
      <c r="AL76" s="159"/>
      <c r="AM76" s="148"/>
      <c r="AN76" s="166"/>
      <c r="AO76" s="166"/>
      <c r="AP76" s="149"/>
      <c r="AQ76" s="114"/>
      <c r="AR76" s="146">
        <f>K19</f>
        <v>0</v>
      </c>
      <c r="AS76" s="158"/>
      <c r="AT76" s="159"/>
      <c r="AU76" s="159"/>
      <c r="AV76" s="159"/>
      <c r="AW76" s="159"/>
      <c r="AX76" s="148"/>
      <c r="AY76" s="166"/>
      <c r="AZ76" s="166"/>
      <c r="BA76" s="149"/>
    </row>
    <row r="77" spans="2:53">
      <c r="B77" s="18" t="s">
        <v>12</v>
      </c>
      <c r="C77" s="21"/>
      <c r="D77" s="13"/>
      <c r="E77" s="16"/>
      <c r="F77" s="20">
        <f>C77+F58</f>
        <v>0</v>
      </c>
      <c r="G77" t="s">
        <v>136</v>
      </c>
      <c r="H77" s="111"/>
      <c r="J77" s="33"/>
      <c r="K77" s="7"/>
      <c r="L77" s="117"/>
      <c r="M77" s="117"/>
      <c r="N77" s="117"/>
      <c r="O77" s="117"/>
      <c r="P77" s="117"/>
      <c r="Q77" s="117"/>
      <c r="R77" s="117"/>
      <c r="S77" s="117"/>
      <c r="T77" s="117"/>
    </row>
    <row r="78" spans="2:53">
      <c r="B78" s="14" t="s">
        <v>8</v>
      </c>
      <c r="C78" s="20">
        <f>SUM(C76:C77)</f>
        <v>0</v>
      </c>
      <c r="D78" s="11"/>
      <c r="E78" s="15"/>
      <c r="F78" s="20">
        <f>SUM(F76:F77)</f>
        <v>0</v>
      </c>
    </row>
    <row r="81" spans="3:23">
      <c r="C81" s="1" t="s">
        <v>80</v>
      </c>
      <c r="D81" s="1"/>
      <c r="F81" s="63">
        <f>'Federal Income Tax'!B90</f>
        <v>0</v>
      </c>
      <c r="H81" s="1"/>
      <c r="K81" t="s">
        <v>142</v>
      </c>
    </row>
    <row r="82" spans="3:23">
      <c r="C82" s="1" t="s">
        <v>81</v>
      </c>
      <c r="D82" s="1"/>
      <c r="F82" s="63">
        <f>'GA State Income Tax'!B36</f>
        <v>0</v>
      </c>
      <c r="H82" s="1"/>
      <c r="K82" s="7" t="s">
        <v>118</v>
      </c>
      <c r="L82" s="7" t="s">
        <v>6</v>
      </c>
      <c r="M82" s="7" t="s">
        <v>7</v>
      </c>
      <c r="N82" s="7" t="s">
        <v>115</v>
      </c>
      <c r="O82" s="7" t="s">
        <v>116</v>
      </c>
      <c r="P82" s="7" t="s">
        <v>117</v>
      </c>
      <c r="Q82" s="7" t="s">
        <v>194</v>
      </c>
      <c r="R82" s="7" t="s">
        <v>198</v>
      </c>
      <c r="S82" s="7" t="s">
        <v>199</v>
      </c>
      <c r="T82" s="7" t="s">
        <v>195</v>
      </c>
    </row>
    <row r="83" spans="3:23">
      <c r="K83" s="7" t="str">
        <f>K6</f>
        <v>Brokerage 1</v>
      </c>
      <c r="L83" s="106">
        <f>L6+W6+AH6+L25+W25+L44+W44+AH44+L63+W63+AH63+AS63</f>
        <v>0</v>
      </c>
      <c r="M83" s="106">
        <f>M6+X6+AI6+M25+X25+M44+X44+AI44+M63+X63+AI63+AT63</f>
        <v>0</v>
      </c>
      <c r="N83" s="106">
        <f>N6+Y6+AJ6+N25+Y25+N44+Y44+AJ44+N63+Y63+AJ63+AU63</f>
        <v>0</v>
      </c>
      <c r="O83" s="106">
        <f>O6+Z6+AK6+O25+Z25+O44+Z44+AK44+O63+Z63+AK63+AV63</f>
        <v>0</v>
      </c>
      <c r="P83" s="106">
        <f>P6+AA6+AL6+P25+AA25+P44+AA44+AL44+P63+AA63+AL63+AW63</f>
        <v>0</v>
      </c>
      <c r="Q83" s="106">
        <f>Q6+AB6+AM6+Q25+AB25+Q44+AB44+AM44+Q63+AB63+AM63+AX63</f>
        <v>0</v>
      </c>
      <c r="R83" s="106">
        <f t="shared" ref="R83:T83" si="9">R6+AC6+AN6+R25+AC25+R44+AC44+AN44+R63+AC63+AN63+AY63</f>
        <v>0</v>
      </c>
      <c r="S83" s="106">
        <f t="shared" si="9"/>
        <v>0</v>
      </c>
      <c r="T83" s="106">
        <f t="shared" si="9"/>
        <v>0</v>
      </c>
    </row>
    <row r="84" spans="3:23">
      <c r="K84" s="7" t="str">
        <f t="shared" ref="K84:K96" si="10">K7</f>
        <v>Brokerage 2</v>
      </c>
      <c r="L84" s="106">
        <f>L7+W7+AH7+L26+W26+L45+W45+AH45+L64+W64+AH64+AS64</f>
        <v>0</v>
      </c>
      <c r="M84" s="106">
        <f>M7+X7+AI7+M26+X26+M45+X45+AI45+M64+X64+AI64+AT64</f>
        <v>0</v>
      </c>
      <c r="N84" s="106">
        <f>N7+Y7+AJ7+N26+Y26+N45+Y45+AJ45+N64+Y64+AJ64+AU64</f>
        <v>0</v>
      </c>
      <c r="O84" s="106">
        <f>O7+Z7+AK7+O26+Z26+O45+Z45+AK45+O64+Z64+AK64+AV64</f>
        <v>0</v>
      </c>
      <c r="P84" s="106">
        <f>P7+AA7+AL7+P26+AA26+P45+AA45+AL45+P64+AA64+AL64+AW64</f>
        <v>0</v>
      </c>
      <c r="Q84" s="106">
        <f>Q7+AB7+AM7+Q26+AB26+Q45+AB45+AM45+Q64+AB64+AM64+AX64</f>
        <v>0</v>
      </c>
      <c r="R84" s="106">
        <f t="shared" ref="R84:T84" si="11">R7+AC7+AN7+R26+AC26+R45+AC45+AN45+R64+AC64+AN64+AY64</f>
        <v>0</v>
      </c>
      <c r="S84" s="106">
        <f t="shared" si="11"/>
        <v>0</v>
      </c>
      <c r="T84" s="106">
        <f t="shared" si="11"/>
        <v>0</v>
      </c>
    </row>
    <row r="85" spans="3:23">
      <c r="K85" s="7" t="str">
        <f t="shared" si="10"/>
        <v>401K</v>
      </c>
      <c r="L85" s="106">
        <f>L8+W8+AH8+L27+W27+L46+W46+AH46+L65+W65+AH65+AS65</f>
        <v>0</v>
      </c>
      <c r="M85" s="106">
        <f>M8+X8+AI8+M27+X27+M46+X46+AI46+M65+X65+AI65+AT65</f>
        <v>0</v>
      </c>
      <c r="N85" s="106">
        <f>N8+Y8+AJ8+N27+Y27+N46+Y46+AJ46+N65+Y65+AJ65+AU65</f>
        <v>0</v>
      </c>
      <c r="O85" s="106">
        <f>O8+Z8+AK8+O27+Z27+O46+Z46+AK46+O65+Z65+AK65+AV65</f>
        <v>0</v>
      </c>
      <c r="P85" s="106">
        <f>P8+AA8+AL8+P27+AA27+P46+AA46+AL46+P65+AA65+AL65+AW65</f>
        <v>0</v>
      </c>
      <c r="Q85" s="106">
        <f>Q8+AB8+AM8+Q27+AB27+Q46+AB46+AM46+Q65+AB65+AM65+AX65</f>
        <v>0</v>
      </c>
      <c r="R85" s="106">
        <f t="shared" ref="R85:T85" si="12">R8+AC8+AN8+R27+AC27+R46+AC46+AN46+R65+AC65+AN65+AY65</f>
        <v>0</v>
      </c>
      <c r="S85" s="106">
        <f t="shared" si="12"/>
        <v>0</v>
      </c>
      <c r="T85" s="106">
        <f t="shared" si="12"/>
        <v>0</v>
      </c>
    </row>
    <row r="86" spans="3:23">
      <c r="K86" s="7" t="str">
        <f t="shared" si="10"/>
        <v>IRA</v>
      </c>
      <c r="L86" s="106">
        <f>L9+W9+AH9+L28+W28+L47+W47+AH47+L66+W66+AH66+AS66</f>
        <v>0</v>
      </c>
      <c r="M86" s="106">
        <f>M9+X9+AI9+M28+X28+M47+X47+AI47+M66+X66+AI66+AT66</f>
        <v>0</v>
      </c>
      <c r="N86" s="106">
        <f>N9+Y9+AJ9+N28+Y28+N47+Y47+AJ47+N66+Y66+AJ66+AU66</f>
        <v>0</v>
      </c>
      <c r="O86" s="106">
        <f>O9+Z9+AK9+O28+Z28+O47+Z47+AK47+O66+Z66+AK66+AV66</f>
        <v>0</v>
      </c>
      <c r="P86" s="106">
        <f>P9+AA9+AL9+P28+AA28+P47+AA47+AL47+P66+AA66+AL66+AW66</f>
        <v>0</v>
      </c>
      <c r="Q86" s="106">
        <f>Q9+AB9+AM9+Q28+AB28+Q47+AB47+AM47+Q66+AB66+AM66+AX66</f>
        <v>0</v>
      </c>
      <c r="R86" s="106">
        <f t="shared" ref="R86:T86" si="13">R9+AC9+AN9+R28+AC28+R47+AC47+AN47+R66+AC66+AN66+AY66</f>
        <v>0</v>
      </c>
      <c r="S86" s="106">
        <f t="shared" si="13"/>
        <v>0</v>
      </c>
      <c r="T86" s="106">
        <f t="shared" si="13"/>
        <v>0</v>
      </c>
    </row>
    <row r="87" spans="3:23">
      <c r="K87" s="7" t="str">
        <f t="shared" si="10"/>
        <v>Mutual Fund 1</v>
      </c>
      <c r="L87" s="106">
        <f>L10+W10+AH10+L29+W29+L48+W48+AH48+L67+W67+AH67+AS67</f>
        <v>0</v>
      </c>
      <c r="M87" s="106">
        <f>M10+X10+AI10+M29+X29+M48+X48+AI48+M67+X67+AI67+AT67</f>
        <v>0</v>
      </c>
      <c r="N87" s="106">
        <f>N10+Y10+AJ10+N29+Y29+N48+Y48+AJ48+N67+Y67+AJ67+AU67</f>
        <v>0</v>
      </c>
      <c r="O87" s="106">
        <f>O10+Z10+AK10+O29+Z29+O48+Z48+AK48+O67+Z67+AK67+AV67</f>
        <v>0</v>
      </c>
      <c r="P87" s="106">
        <f>P10+AA10+AL10+P29+AA29+P48+AA48+AL48+P67+AA67+AL67+AW67</f>
        <v>0</v>
      </c>
      <c r="Q87" s="106">
        <f>Q10+AB10+AM10+Q29+AB29+Q48+AB48+AM48+Q67+AB67+AM67+AX67</f>
        <v>0</v>
      </c>
      <c r="R87" s="106">
        <f t="shared" ref="R87:T87" si="14">R10+AC10+AN10+R29+AC29+R48+AC48+AN48+R67+AC67+AN67+AY67</f>
        <v>0</v>
      </c>
      <c r="S87" s="106">
        <f t="shared" si="14"/>
        <v>0</v>
      </c>
      <c r="T87" s="106">
        <f t="shared" si="14"/>
        <v>0</v>
      </c>
    </row>
    <row r="88" spans="3:23">
      <c r="K88" s="7" t="str">
        <f t="shared" si="10"/>
        <v>Mut Fund 2</v>
      </c>
      <c r="L88" s="106">
        <f>L11+W11+AH11+L30+W30+L49+W49+AH49+L68+W68+AH68+AS68</f>
        <v>0</v>
      </c>
      <c r="M88" s="106">
        <f>M11+X11+AI11+M30+X30+M49+X49+AI49+M68+X68+AI68+AT68</f>
        <v>0</v>
      </c>
      <c r="N88" s="106">
        <f>N11+Y11+AJ11+N30+Y30+N49+Y49+AJ49+N68+Y68+AJ68+AU68</f>
        <v>0</v>
      </c>
      <c r="O88" s="106">
        <f>O11+Z11+AK11+O30+Z30+O49+Z49+AK49+O68+Z68+AK68+AV68</f>
        <v>0</v>
      </c>
      <c r="P88" s="106">
        <f>P11+AA11+AL11+P30+AA30+P49+AA49+AL49+P68+AA68+AL68+AW68</f>
        <v>0</v>
      </c>
      <c r="Q88" s="106">
        <f>Q11+AB11+AM11+Q30+AB30+Q49+AB49+AM49+Q68+AB68+AM68+AX68</f>
        <v>0</v>
      </c>
      <c r="R88" s="106">
        <f t="shared" ref="R88:T88" si="15">R11+AC11+AN11+R30+AC30+R49+AC49+AN49+R68+AC68+AN68+AY68</f>
        <v>0</v>
      </c>
      <c r="S88" s="106">
        <f t="shared" si="15"/>
        <v>0</v>
      </c>
      <c r="T88" s="106">
        <f t="shared" si="15"/>
        <v>0</v>
      </c>
    </row>
    <row r="89" spans="3:23">
      <c r="K89" s="7" t="str">
        <f t="shared" si="10"/>
        <v>Bank 1</v>
      </c>
      <c r="L89" s="106">
        <f>L12+W12+AH12+L31+W31+L50+W50+AH50+L69+W69+AH69+AS69</f>
        <v>0</v>
      </c>
      <c r="M89" s="106">
        <f>M12+X12+AI12+M31+X31+M50+X50+AI50+M69+X69+AI69+AT69</f>
        <v>0</v>
      </c>
      <c r="N89" s="106">
        <f>N12+Y12+AJ12+N31+Y31+N50+Y50+AJ50+N69+Y69+AJ69+AU69</f>
        <v>0</v>
      </c>
      <c r="O89" s="106">
        <f>O12+Z12+AK12+O31+Z31+O50+Z50+AK50+O69+Z69+AK69+AV69</f>
        <v>0</v>
      </c>
      <c r="P89" s="106">
        <f>P12+AA12+AL12+P31+AA31+P50+AA50+AL50+P69+AA69+AL69+AW69</f>
        <v>0</v>
      </c>
      <c r="Q89" s="106">
        <f>Q12+AB12+AM12+Q31+AB31+Q50+AB50+AM50+Q69+AB69+AM69+AX69</f>
        <v>0</v>
      </c>
      <c r="R89" s="106">
        <f t="shared" ref="R89:T89" si="16">R12+AC12+AN12+R31+AC31+R50+AC50+AN50+R69+AC69+AN69+AY69</f>
        <v>0</v>
      </c>
      <c r="S89" s="106">
        <f t="shared" si="16"/>
        <v>0</v>
      </c>
      <c r="T89" s="106">
        <f t="shared" si="16"/>
        <v>0</v>
      </c>
    </row>
    <row r="90" spans="3:23">
      <c r="K90" s="7" t="str">
        <f t="shared" si="10"/>
        <v>Credit Union</v>
      </c>
      <c r="L90" s="106">
        <f>L13+W13+AH13+L32+W32+L51+W51+AH51+L70+W70+AH70+AS70</f>
        <v>0</v>
      </c>
      <c r="M90" s="106">
        <f>M13+X13+AI13+M32+X32+M51+X51+AI51+M70+X70+AI70+AT70</f>
        <v>0</v>
      </c>
      <c r="N90" s="106">
        <f>N13+Y13+AJ13+N32+Y32+N51+Y51+AJ51+N70+Y70+AJ70+AU70</f>
        <v>0</v>
      </c>
      <c r="O90" s="106">
        <f>O13+Z13+AK13+O32+Z32+O51+Z51+AK51+O70+Z70+AK70+AV70</f>
        <v>0</v>
      </c>
      <c r="P90" s="106">
        <f>P13+AA13+AL13+P32+AA32+P51+AA51+AL51+P70+AA70+AL70+AW70</f>
        <v>0</v>
      </c>
      <c r="Q90" s="106">
        <f>Q13+AB13+AM13+Q32+AB32+Q51+AB51+AM51+Q70+AB70+AM70+AX70</f>
        <v>0</v>
      </c>
      <c r="R90" s="106">
        <f t="shared" ref="R90:T90" si="17">R13+AC13+AN13+R32+AC32+R51+AC51+AN51+R70+AC70+AN70+AY70</f>
        <v>0</v>
      </c>
      <c r="S90" s="106">
        <f t="shared" si="17"/>
        <v>0</v>
      </c>
      <c r="T90" s="106">
        <f t="shared" si="17"/>
        <v>0</v>
      </c>
      <c r="W90" s="107"/>
    </row>
    <row r="91" spans="3:23">
      <c r="K91" s="7" t="str">
        <f t="shared" si="10"/>
        <v>Credit Card</v>
      </c>
      <c r="L91" s="106">
        <f>L14+W14+AH14+L33+W33+L52+W52+AH52+L71+W71+AH71+AS71</f>
        <v>0</v>
      </c>
      <c r="M91" s="106">
        <f>M14+X14+AI14+M33+X33+M52+X52+AI52+M71+X71+AI71+AT71</f>
        <v>0</v>
      </c>
      <c r="N91" s="106">
        <f>N14+Y14+AJ14+N33+Y33+N52+Y52+AJ52+N71+Y71+AJ71+AU71</f>
        <v>0</v>
      </c>
      <c r="O91" s="106">
        <f>O14+Z14+AK14+O33+Z33+O52+Z52+AK52+O71+Z71+AK71+AV71</f>
        <v>0</v>
      </c>
      <c r="P91" s="106">
        <f>P14+AA14+AL14+P33+AA33+P52+AA52+AL52+P71+AA71+AL71+AW71</f>
        <v>0</v>
      </c>
      <c r="Q91" s="106">
        <f>Q14+AB14+AM14+Q33+AB33+Q52+AB52+AM52+Q71+AB71+AM71+AX71</f>
        <v>0</v>
      </c>
      <c r="R91" s="106">
        <f t="shared" ref="R91:T91" si="18">R14+AC14+AN14+R33+AC33+R52+AC52+AN52+R71+AC71+AN71+AY71</f>
        <v>0</v>
      </c>
      <c r="S91" s="106">
        <f t="shared" si="18"/>
        <v>0</v>
      </c>
      <c r="T91" s="106">
        <f t="shared" si="18"/>
        <v>0</v>
      </c>
    </row>
    <row r="92" spans="3:23">
      <c r="K92" s="7" t="str">
        <f t="shared" si="10"/>
        <v>Grants</v>
      </c>
      <c r="L92" s="106">
        <f>L15+W15+AH15+L34+W34+L53+W53+AH53+L72+W72+AH72+AS72</f>
        <v>0</v>
      </c>
      <c r="M92" s="106">
        <f>M15+X15+AI15+M34+X34+M53+X53+AI53+M72+X72+AI72+AT72</f>
        <v>0</v>
      </c>
      <c r="N92" s="106">
        <f>N15+Y15+AJ15+N34+Y34+N53+Y53+AJ53+N72+Y72+AJ72+AU72</f>
        <v>0</v>
      </c>
      <c r="O92" s="106">
        <f>O15+Z15+AK15+O34+Z34+O53+Z53+AK53+O72+Z72+AK72+AV72</f>
        <v>0</v>
      </c>
      <c r="P92" s="106">
        <f>P15+AA15+AL15+P34+AA34+P53+AA53+AL53+P72+AA72+AL72+AW72</f>
        <v>0</v>
      </c>
      <c r="Q92" s="106">
        <f>Q15+AB15+AM15+Q34+AB34+Q53+AB53+AM53+Q72+AB72+AM72+AX72</f>
        <v>0</v>
      </c>
      <c r="R92" s="106">
        <f t="shared" ref="R92:T92" si="19">R15+AC15+AN15+R34+AC34+R53+AC53+AN53+R72+AC72+AN72+AY72</f>
        <v>0</v>
      </c>
      <c r="S92" s="106">
        <f t="shared" si="19"/>
        <v>0</v>
      </c>
      <c r="T92" s="106">
        <f t="shared" si="19"/>
        <v>0</v>
      </c>
    </row>
    <row r="93" spans="3:23">
      <c r="K93" s="7" t="str">
        <f t="shared" si="10"/>
        <v>Options</v>
      </c>
      <c r="L93" s="106">
        <f>L16+W16+AH16+L35+W35+L54+W54+AH54+L73+W73+AH73+AS73</f>
        <v>0</v>
      </c>
      <c r="M93" s="106">
        <f>M16+X16+AI16+M35+X35+M54+X54+AI54+M73+X73+AI73+AT73</f>
        <v>0</v>
      </c>
      <c r="N93" s="106">
        <f>N16+Y16+AJ16+N35+Y35+N54+Y54+AJ54+N73+Y73+AJ73+AU73</f>
        <v>0</v>
      </c>
      <c r="O93" s="106">
        <f>O16+Z16+AK16+O35+Z35+O54+Z54+AK54+O73+Z73+AK73+AV73</f>
        <v>0</v>
      </c>
      <c r="P93" s="106">
        <f>P16+AA16+AL16+P35+AA35+P54+AA54+AL54+P73+AA73+AL73+AW73</f>
        <v>0</v>
      </c>
      <c r="Q93" s="106">
        <f>Q16+AB16+AM16+Q35+AB35+Q54+AB54+AM54+Q73+AB73+AM73+AX73</f>
        <v>0</v>
      </c>
      <c r="R93" s="106">
        <f t="shared" ref="R93:T93" si="20">R16+AC16+AN16+R35+AC35+R54+AC54+AN54+R73+AC73+AN73+AY73</f>
        <v>0</v>
      </c>
      <c r="S93" s="106">
        <f t="shared" si="20"/>
        <v>0</v>
      </c>
      <c r="T93" s="106">
        <f t="shared" si="20"/>
        <v>0</v>
      </c>
    </row>
    <row r="94" spans="3:23">
      <c r="K94" s="7" t="str">
        <f t="shared" si="10"/>
        <v>Job</v>
      </c>
      <c r="L94" s="106">
        <f>L17+W17+AH17+L36+W36+L55+W55+AH55+L74+W74+AH74+AS74</f>
        <v>0</v>
      </c>
      <c r="M94" s="106">
        <f>M17+X17+AI17+M36+X36+M55+X55+AI55+M74+X74+AI74+AT74</f>
        <v>0</v>
      </c>
      <c r="N94" s="106">
        <f>N17+Y17+AJ17+N36+Y36+N55+Y55+AJ55+N74+Y74+AJ74+AU74</f>
        <v>0</v>
      </c>
      <c r="O94" s="106">
        <f>O17+Z17+AK17+O36+Z36+O55+Z55+AK55+O74+Z74+AK74+AV74</f>
        <v>0</v>
      </c>
      <c r="P94" s="106">
        <f>P17+AA17+AL17+P36+AA36+P55+AA55+AL55+P74+AA74+AL74+AW74</f>
        <v>0</v>
      </c>
      <c r="Q94" s="106">
        <f>Q17+AB17+AM17+Q36+AB36+Q55+AB55+AM55+Q74+AB74+AM74+AX74</f>
        <v>0</v>
      </c>
      <c r="R94" s="106">
        <f t="shared" ref="R94:T94" si="21">R17+AC17+AN17+R36+AC36+R55+AC55+AN55+R74+AC74+AN74+AY74</f>
        <v>0</v>
      </c>
      <c r="S94" s="106">
        <f t="shared" si="21"/>
        <v>0</v>
      </c>
      <c r="T94" s="106">
        <f t="shared" si="21"/>
        <v>0</v>
      </c>
    </row>
    <row r="95" spans="3:23">
      <c r="K95" s="7" t="str">
        <f t="shared" si="10"/>
        <v>Contract Job</v>
      </c>
      <c r="L95" s="106">
        <f>L18+W18+AH18+L37+W37+L56+W56+AH56+L75+W75+AH75+AS75</f>
        <v>0</v>
      </c>
      <c r="M95" s="106">
        <f>M18+X18+AI18+M37+X37+M56+X56+AI56+M75+X75+AI75+AT75</f>
        <v>0</v>
      </c>
      <c r="N95" s="106">
        <f>N18+Y18+AJ18+N37+Y37+N56+Y56+AJ56+N75+Y75+AJ75+AU75</f>
        <v>0</v>
      </c>
      <c r="O95" s="106">
        <f>O18+Z18+AK18+O37+Z37+O56+Z56+AK56+O75+Z75+AK75+AV75</f>
        <v>0</v>
      </c>
      <c r="P95" s="106">
        <f>P18+AA18+AL18+P37+AA37+P56+AA56+AL56+P75+AA75+AL75+AW75</f>
        <v>0</v>
      </c>
      <c r="Q95" s="106">
        <f>Q18+AB18+AM18+Q37+AB37+Q56+AB56+AM56+Q75+AB75+AM75+AX75</f>
        <v>0</v>
      </c>
      <c r="R95" s="106">
        <f t="shared" ref="R95:T95" si="22">R18+AC18+AN18+R37+AC37+R56+AC56+AN56+R75+AC75+AN75+AY75</f>
        <v>0</v>
      </c>
      <c r="S95" s="106">
        <f t="shared" si="22"/>
        <v>0</v>
      </c>
      <c r="T95" s="106">
        <f t="shared" si="22"/>
        <v>0</v>
      </c>
    </row>
    <row r="96" spans="3:23">
      <c r="K96" s="7">
        <f t="shared" si="10"/>
        <v>0</v>
      </c>
      <c r="L96" s="106">
        <f>L19+W19+AH19+L38+W38+L57+W57+AH57+L76+W76+AH76+AS76</f>
        <v>0</v>
      </c>
      <c r="M96" s="106">
        <f>M19+X19+AI19+M38+X38+M57+X57+AI57+M76+X76+AI76+AT76</f>
        <v>0</v>
      </c>
      <c r="N96" s="106">
        <f>N19+Y19+AJ19+N38+Y38+N57+Y57+AJ57+N76+Y76+AJ76+AU76</f>
        <v>0</v>
      </c>
      <c r="O96" s="106">
        <f>O19+Z19+AK19+O38+Z38+O57+Z57+AK57+O76+Z76+AK76+AV76</f>
        <v>0</v>
      </c>
      <c r="P96" s="106">
        <f>P19+AA19+AL19+P38+AA38+P57+AA57+AL57+P76+AA76+AL76+AW76</f>
        <v>0</v>
      </c>
      <c r="Q96" s="106">
        <f>Q19+AB19+AM19+Q38+AB38+Q57+AB57+AM57+Q76+AB76+AM76+AX76</f>
        <v>0</v>
      </c>
      <c r="R96" s="106">
        <f t="shared" ref="R96:T96" si="23">R19+AC19+AN19+R38+AC38+R57+AC57+AN57+R76+AC76+AN76+AY76</f>
        <v>0</v>
      </c>
      <c r="S96" s="106">
        <f t="shared" si="23"/>
        <v>0</v>
      </c>
      <c r="T96" s="106">
        <f t="shared" si="23"/>
        <v>0</v>
      </c>
    </row>
    <row r="99" spans="11:20">
      <c r="K99" s="8" t="s">
        <v>134</v>
      </c>
      <c r="L99" s="7" t="s">
        <v>6</v>
      </c>
      <c r="M99" s="7" t="s">
        <v>7</v>
      </c>
      <c r="N99" s="7" t="s">
        <v>115</v>
      </c>
      <c r="O99" s="7" t="s">
        <v>116</v>
      </c>
      <c r="P99" s="7" t="s">
        <v>117</v>
      </c>
      <c r="Q99" s="7" t="s">
        <v>194</v>
      </c>
      <c r="R99" s="7" t="s">
        <v>198</v>
      </c>
      <c r="S99" s="7" t="s">
        <v>199</v>
      </c>
      <c r="T99" s="7" t="s">
        <v>195</v>
      </c>
    </row>
    <row r="100" spans="11:20">
      <c r="L100" s="106">
        <f>SUM(L83:L96)</f>
        <v>0</v>
      </c>
      <c r="M100" s="106">
        <f>SUM(M83:M96)</f>
        <v>0</v>
      </c>
      <c r="N100" s="106">
        <f>SUM(N83:N96)</f>
        <v>0</v>
      </c>
      <c r="O100" s="106">
        <f>SUM(O83:O96)</f>
        <v>0</v>
      </c>
      <c r="P100" s="106">
        <f>SUM(P83:P96)</f>
        <v>0</v>
      </c>
      <c r="Q100" s="106">
        <f>SUM(Q83:Q96)</f>
        <v>0</v>
      </c>
      <c r="R100" s="106">
        <f t="shared" ref="R100:S100" si="24">SUM(R83:R96)</f>
        <v>0</v>
      </c>
      <c r="S100" s="106">
        <f t="shared" si="24"/>
        <v>0</v>
      </c>
      <c r="T100" s="106">
        <f>SUM(T83:T96)</f>
        <v>0</v>
      </c>
    </row>
  </sheetData>
  <phoneticPr fontId="1" type="noConversion"/>
  <pageMargins left="0.75" right="0.75" top="1" bottom="1" header="0.5" footer="0.5"/>
  <pageSetup scale="41" orientation="landscape"/>
  <headerFooter alignWithMargins="0"/>
  <ignoredErrors>
    <ignoredError sqref="AG16 V16 K35 V35 K54 V54 AG54 K73 V73 AG73 AR73" emptyCellReference="1"/>
  </ignoredErrors>
  <extLst>
    <ext xmlns:mx="http://schemas.microsoft.com/office/mac/excel/2008/main" uri="{64002731-A6B0-56B0-2670-7721B7C09600}">
      <mx:PLV Mode="0" OnePage="0" WScale="10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K28"/>
  <sheetViews>
    <sheetView zoomScale="125" zoomScaleNormal="125" zoomScalePageLayoutView="125" workbookViewId="0">
      <selection activeCell="M9" sqref="M9"/>
    </sheetView>
  </sheetViews>
  <sheetFormatPr baseColWidth="10" defaultRowHeight="12" x14ac:dyDescent="0"/>
  <cols>
    <col min="1" max="1" width="10.83203125" style="53"/>
    <col min="2" max="2" width="11.33203125" style="53" bestFit="1" customWidth="1"/>
    <col min="3" max="16384" width="10.83203125" style="53"/>
  </cols>
  <sheetData>
    <row r="2" spans="1:11" ht="15">
      <c r="B2" s="49" t="s">
        <v>18</v>
      </c>
    </row>
    <row r="4" spans="1:11">
      <c r="B4" s="25">
        <f>'Federal Income Tax'!B65</f>
        <v>0</v>
      </c>
      <c r="C4" s="46" t="s">
        <v>45</v>
      </c>
    </row>
    <row r="5" spans="1:11">
      <c r="B5" s="26">
        <v>0</v>
      </c>
      <c r="C5" s="53" t="s">
        <v>35</v>
      </c>
      <c r="G5" s="43" t="s">
        <v>30</v>
      </c>
    </row>
    <row r="6" spans="1:11">
      <c r="B6" s="25">
        <f>B4-B5</f>
        <v>0</v>
      </c>
      <c r="C6" s="53" t="s">
        <v>34</v>
      </c>
    </row>
    <row r="7" spans="1:11">
      <c r="B7" s="57"/>
    </row>
    <row r="8" spans="1:11">
      <c r="A8" s="46"/>
      <c r="B8" s="34">
        <v>126500</v>
      </c>
      <c r="C8" s="53" t="s">
        <v>20</v>
      </c>
      <c r="G8" s="43" t="s">
        <v>154</v>
      </c>
      <c r="K8" s="53" t="s">
        <v>155</v>
      </c>
    </row>
    <row r="9" spans="1:11">
      <c r="A9" s="46"/>
      <c r="B9" s="26">
        <v>1156300</v>
      </c>
      <c r="C9" s="53" t="s">
        <v>19</v>
      </c>
      <c r="G9" s="43" t="s">
        <v>154</v>
      </c>
    </row>
    <row r="10" spans="1:11">
      <c r="B10" s="56"/>
      <c r="G10" s="43"/>
    </row>
    <row r="11" spans="1:11">
      <c r="B11" s="27">
        <v>0.26</v>
      </c>
      <c r="C11" s="53" t="s">
        <v>28</v>
      </c>
      <c r="G11" s="43" t="s">
        <v>42</v>
      </c>
    </row>
    <row r="12" spans="1:11">
      <c r="B12" s="35">
        <v>0.28000000000000003</v>
      </c>
      <c r="C12" s="53" t="s">
        <v>29</v>
      </c>
      <c r="F12" s="43"/>
    </row>
    <row r="13" spans="1:11">
      <c r="A13" s="46"/>
      <c r="B13" s="30">
        <v>220700</v>
      </c>
      <c r="C13" s="53" t="s">
        <v>135</v>
      </c>
      <c r="F13" s="43"/>
      <c r="G13" s="43" t="s">
        <v>154</v>
      </c>
    </row>
    <row r="14" spans="1:11">
      <c r="B14" s="56"/>
      <c r="G14" s="43"/>
    </row>
    <row r="15" spans="1:11">
      <c r="B15" s="25">
        <f>MAX(B8-MAX(B6-B9,0)*0.25, 0)</f>
        <v>126500</v>
      </c>
      <c r="C15" s="53" t="s">
        <v>21</v>
      </c>
      <c r="G15" s="43" t="s">
        <v>39</v>
      </c>
    </row>
    <row r="16" spans="1:11">
      <c r="B16" s="25">
        <f>IF(B6-B15&lt;0,0,B6-B15)</f>
        <v>0</v>
      </c>
      <c r="C16" s="53" t="s">
        <v>22</v>
      </c>
      <c r="G16" s="43" t="s">
        <v>40</v>
      </c>
    </row>
    <row r="18" spans="2:8">
      <c r="B18" s="25">
        <f>'Quarterly Income'!C8+'Quarterly Income'!C12+'Quarterly Income'!C27+'Quarterly Income'!C31+'Quarterly Income'!C46+'Quarterly Income'!C50+'Quarterly Income'!C65+'Quarterly Income'!C69</f>
        <v>0</v>
      </c>
      <c r="C18" s="53" t="s">
        <v>23</v>
      </c>
    </row>
    <row r="19" spans="2:8">
      <c r="B19" s="25">
        <f>IF(B18&gt;0,MAX(B16-B18,0),B16)</f>
        <v>0</v>
      </c>
      <c r="C19" s="53" t="s">
        <v>31</v>
      </c>
      <c r="G19" s="43" t="s">
        <v>38</v>
      </c>
    </row>
    <row r="20" spans="2:8">
      <c r="B20" s="54"/>
    </row>
    <row r="21" spans="2:8">
      <c r="B21" s="31">
        <f>IF(B19&lt;=B13,B19*B11,((B13*B11)+(B19-B13)*B12))</f>
        <v>0</v>
      </c>
      <c r="C21" s="53" t="s">
        <v>24</v>
      </c>
    </row>
    <row r="22" spans="2:8">
      <c r="B22" s="28">
        <f>'Quarterly Income'!F72+'Quarterly Income'!F73</f>
        <v>0</v>
      </c>
      <c r="C22" s="46" t="s">
        <v>41</v>
      </c>
    </row>
    <row r="23" spans="2:8">
      <c r="B23" s="55"/>
    </row>
    <row r="24" spans="2:8">
      <c r="B24" s="32">
        <f>IF(B19&gt;0,B21/B19,B11)</f>
        <v>0.26</v>
      </c>
      <c r="C24" s="53" t="s">
        <v>33</v>
      </c>
      <c r="G24" s="43" t="s">
        <v>32</v>
      </c>
    </row>
    <row r="25" spans="2:8" s="109" customFormat="1" ht="17">
      <c r="B25" s="133">
        <f>IF(B21&gt;B22,B21-B22,0)</f>
        <v>0</v>
      </c>
      <c r="C25" s="49" t="s">
        <v>25</v>
      </c>
    </row>
    <row r="28" spans="2:8">
      <c r="H28" s="54"/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Overview</vt:lpstr>
      <vt:lpstr>Federal Income Tax</vt:lpstr>
      <vt:lpstr>GA State Income Tax</vt:lpstr>
      <vt:lpstr>Quarterly Income</vt:lpstr>
      <vt:lpstr>AMT</vt:lpstr>
    </vt:vector>
  </TitlesOfParts>
  <Manager/>
  <Company/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Tax Estimates</dc:title>
  <dc:subject/>
  <dc:creator>Michael Sandrik, Tom Anschutz</dc:creator>
  <cp:keywords>Tax Estimate quarterly payments</cp:keywords>
  <dc:description>Based on http://mikesandrik.com/spreadsheets/_x000d_TA changed CA to GA for state and added the input grid to quarterly income to make it easier to collect multiple accounts and reconcile. </dc:description>
  <cp:lastModifiedBy>Tom Anschutz</cp:lastModifiedBy>
  <cp:lastPrinted>2022-01-09T17:18:30Z</cp:lastPrinted>
  <dcterms:created xsi:type="dcterms:W3CDTF">2007-11-28T04:59:55Z</dcterms:created>
  <dcterms:modified xsi:type="dcterms:W3CDTF">2023-02-06T20:11:02Z</dcterms:modified>
  <cp:category/>
</cp:coreProperties>
</file>